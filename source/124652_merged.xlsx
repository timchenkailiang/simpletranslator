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90" yWindow="830" windowWidth="17900" windowHeight="895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11">
    <numFmt numFmtId="164" formatCode="0.0"/>
    <numFmt numFmtId="165" formatCode="0.00_ "/>
    <numFmt numFmtId="166" formatCode="0_ "/>
    <numFmt numFmtId="167" formatCode="0.000_ "/>
    <numFmt numFmtId="168" formatCode="0.00;_㰀"/>
    <numFmt numFmtId="169" formatCode="0.0_ "/>
    <numFmt numFmtId="170" formatCode="0.00_);[Red]\(0.00\)"/>
    <numFmt numFmtId="171" formatCode="0.000_);[Red]\(0.000\)"/>
    <numFmt numFmtId="172" formatCode="0_);[Red]\(0\)"/>
    <numFmt numFmtId="173" formatCode="0.0_);[Red]\(0.0\)"/>
    <numFmt numFmtId="174" formatCode="0.000"/>
  </numFmts>
  <fonts count="47">
    <font>
      <name val="宋体"/>
      <charset val="134"/>
      <sz val="12"/>
    </font>
    <font>
      <name val="宋体"/>
      <charset val="134"/>
      <sz val="9"/>
    </font>
    <font>
      <name val="宋体"/>
      <charset val="134"/>
      <sz val="12"/>
    </font>
    <font>
      <name val="Times New Roman"/>
      <family val="1"/>
      <color indexed="8"/>
      <sz val="9"/>
    </font>
    <font>
      <name val="Times New Roman"/>
      <family val="1"/>
      <color indexed="10"/>
      <sz val="9"/>
    </font>
    <font>
      <name val="Times New Roman"/>
      <family val="1"/>
      <b val="1"/>
      <color indexed="8"/>
      <sz val="9"/>
    </font>
    <font>
      <name val="Times New Roman"/>
      <family val="1"/>
      <sz val="12"/>
    </font>
    <font>
      <name val="Times New Roman"/>
      <family val="1"/>
      <b val="1"/>
      <color indexed="10"/>
      <sz val="9"/>
    </font>
    <font>
      <name val="Times New Roman"/>
      <family val="1"/>
      <sz val="9"/>
    </font>
    <font>
      <name val="Times New Roman"/>
      <family val="1"/>
      <b val="1"/>
      <sz val="9"/>
    </font>
    <font>
      <name val="宋体"/>
      <charset val="134"/>
      <color indexed="81"/>
      <sz val="9"/>
    </font>
    <font>
      <name val="宋体"/>
      <charset val="134"/>
      <b val="1"/>
      <color indexed="81"/>
      <sz val="9"/>
    </font>
    <font>
      <name val="宋体"/>
      <charset val="134"/>
      <sz val="9"/>
    </font>
    <font>
      <name val="宋体"/>
      <charset val="134"/>
      <sz val="9"/>
    </font>
    <font>
      <name val="宋体"/>
      <charset val="134"/>
      <sz val="9"/>
    </font>
    <font>
      <name val="宋体"/>
      <charset val="134"/>
      <color indexed="8"/>
      <sz val="9"/>
    </font>
    <font>
      <name val="宋体"/>
      <charset val="134"/>
      <b val="1"/>
      <color indexed="8"/>
      <sz val="9"/>
    </font>
    <font>
      <name val="宋体"/>
      <charset val="134"/>
      <sz val="12"/>
    </font>
    <font>
      <name val="宋体"/>
      <charset val="134"/>
      <color indexed="10"/>
      <sz val="9"/>
    </font>
    <font>
      <name val="宋体"/>
      <charset val="134"/>
      <color indexed="8"/>
      <sz val="9"/>
    </font>
    <font>
      <name val="宋体"/>
      <charset val="134"/>
      <sz val="9"/>
    </font>
    <font>
      <name val="宋体"/>
      <charset val="134"/>
      <b val="1"/>
      <color indexed="36"/>
      <sz val="9"/>
    </font>
    <font>
      <name val="宋体"/>
      <charset val="134"/>
      <sz val="9"/>
    </font>
    <font>
      <name val="Times New Roman"/>
      <family val="1"/>
      <sz val="9"/>
    </font>
    <font>
      <name val="宋体"/>
      <charset val="134"/>
      <color indexed="8"/>
      <sz val="9"/>
    </font>
    <font>
      <name val="宋体"/>
      <charset val="134"/>
      <color indexed="81"/>
      <sz val="9"/>
    </font>
    <font>
      <name val="宋体"/>
      <charset val="134"/>
      <b val="1"/>
      <color indexed="81"/>
      <sz val="9"/>
    </font>
    <font>
      <name val="Times New Roman"/>
      <family val="1"/>
      <b val="1"/>
      <color indexed="10"/>
      <sz val="9"/>
    </font>
    <font>
      <name val="宋体"/>
      <charset val="134"/>
      <b val="1"/>
      <color indexed="10"/>
      <sz val="9"/>
    </font>
    <font>
      <name val="宋体"/>
      <charset val="134"/>
      <sz val="9"/>
    </font>
    <font>
      <name val="Times New Roman"/>
      <family val="1"/>
      <b val="1"/>
      <color indexed="10"/>
      <sz val="9"/>
    </font>
    <font>
      <name val="宋体"/>
      <charset val="134"/>
      <color indexed="10"/>
      <sz val="9"/>
    </font>
    <font>
      <name val="宋体"/>
      <charset val="134"/>
      <b val="1"/>
      <sz val="9"/>
    </font>
    <font>
      <name val="Times New Roman"/>
      <family val="1"/>
      <color indexed="10"/>
      <sz val="9"/>
    </font>
    <font>
      <name val="宋体"/>
      <charset val="134"/>
      <sz val="9"/>
    </font>
    <font>
      <name val="Times New Roman"/>
      <family val="1"/>
      <sz val="9"/>
    </font>
    <font>
      <name val="宋体"/>
      <charset val="134"/>
      <color indexed="8"/>
      <sz val="9"/>
    </font>
    <font>
      <name val="Arial Black"/>
      <family val="2"/>
      <color indexed="8"/>
      <sz val="9"/>
    </font>
    <font>
      <name val="宋体"/>
      <charset val="134"/>
      <b val="1"/>
      <color indexed="8"/>
      <sz val="12"/>
    </font>
    <font>
      <name val="宋体"/>
      <charset val="134"/>
      <color indexed="8"/>
      <sz val="9"/>
    </font>
    <font>
      <name val="宋体"/>
      <charset val="134"/>
      <b val="1"/>
      <color indexed="8"/>
      <sz val="9"/>
    </font>
    <font>
      <name val="宋体"/>
      <charset val="134"/>
      <b val="1"/>
      <color indexed="8"/>
      <sz val="12"/>
    </font>
    <font>
      <name val="Times New Roman"/>
      <family val="1"/>
      <b val="1"/>
      <color indexed="8"/>
      <sz val="12"/>
    </font>
    <font>
      <name val="Times New Roman"/>
      <family val="1"/>
      <b val="1"/>
      <color indexed="10"/>
      <sz val="12"/>
    </font>
    <font>
      <name val="Times New Roman"/>
      <family val="1"/>
      <b val="1"/>
      <color rgb="FFFF0000"/>
      <sz val="9"/>
    </font>
    <font>
      <name val="Times New Roman"/>
      <family val="1"/>
      <b val="1"/>
      <color rgb="FF7030A0"/>
      <sz val="9"/>
    </font>
    <font>
      <name val="宋体"/>
      <charset val="134"/>
      <family val="3"/>
      <color indexed="8"/>
      <sz val="9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7" fillId="0" borderId="0"/>
    <xf numFmtId="0" fontId="17" fillId="0" borderId="0" applyAlignment="1">
      <alignment vertical="center"/>
    </xf>
  </cellStyleXfs>
  <cellXfs count="22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2" fontId="4" fillId="0" borderId="0" pivotButton="0" quotePrefix="0" xfId="0"/>
    <xf numFmtId="0" fontId="3" fillId="0" borderId="0" applyAlignment="1" pivotButton="0" quotePrefix="0" xfId="0">
      <alignment vertical="center"/>
    </xf>
    <xf numFmtId="166" fontId="3" fillId="0" borderId="0" pivotButton="0" quotePrefix="0" xfId="0"/>
    <xf numFmtId="166" fontId="5" fillId="0" borderId="0" pivotButton="0" quotePrefix="0" xfId="0"/>
    <xf numFmtId="165" fontId="5" fillId="0" borderId="0" applyAlignment="1" pivotButton="0" quotePrefix="0" xfId="0">
      <alignment horizontal="right" vertical="center"/>
    </xf>
    <xf numFmtId="3" fontId="3" fillId="0" borderId="0" pivotButton="0" quotePrefix="1" xfId="0"/>
    <xf numFmtId="167" fontId="3" fillId="0" borderId="0" pivotButton="0" quotePrefix="0" xfId="0"/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right"/>
    </xf>
    <xf numFmtId="49" fontId="3" fillId="0" borderId="0" pivotButton="0" quotePrefix="0" xfId="0"/>
    <xf numFmtId="165" fontId="3" fillId="0" borderId="0" applyAlignment="1" pivotButton="0" quotePrefix="0" xfId="0">
      <alignment horizontal="right"/>
    </xf>
    <xf numFmtId="2" fontId="5" fillId="0" borderId="0" pivotButton="0" quotePrefix="0" xfId="0"/>
    <xf numFmtId="165" fontId="5" fillId="0" borderId="0" pivotButton="0" quotePrefix="0" xfId="0"/>
    <xf numFmtId="169" fontId="3" fillId="0" borderId="0" pivotButton="0" quotePrefix="0" xfId="0"/>
    <xf numFmtId="0" fontId="8" fillId="0" borderId="0" pivotButton="0" quotePrefix="0" xfId="0"/>
    <xf numFmtId="0" fontId="3" fillId="0" borderId="0" pivotButton="0" quotePrefix="1" xfId="0"/>
    <xf numFmtId="164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  <xf numFmtId="4" fontId="4" fillId="0" borderId="0" applyAlignment="1" pivotButton="0" quotePrefix="0" xfId="0">
      <alignment horizontal="right" vertical="center"/>
    </xf>
    <xf numFmtId="2" fontId="4" fillId="0" borderId="1" pivotButton="0" quotePrefix="0" xfId="0"/>
    <xf numFmtId="1" fontId="3" fillId="0" borderId="0" pivotButton="0" quotePrefix="0" xfId="0"/>
    <xf numFmtId="4" fontId="4" fillId="0" borderId="0" applyAlignment="1" pivotButton="0" quotePrefix="0" xfId="0">
      <alignment vertical="center"/>
    </xf>
    <xf numFmtId="0" fontId="3" fillId="0" borderId="1" pivotButton="0" quotePrefix="0" xfId="0"/>
    <xf numFmtId="4" fontId="4" fillId="0" borderId="1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7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166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6" fontId="9" fillId="0" borderId="0" pivotButton="0" quotePrefix="0" xfId="0"/>
    <xf numFmtId="2" fontId="8" fillId="0" borderId="0" pivotButton="0" quotePrefix="0" xfId="0"/>
    <xf numFmtId="165" fontId="8" fillId="0" borderId="0" applyAlignment="1" pivotButton="0" quotePrefix="0" xfId="0">
      <alignment horizontal="right" vertical="center"/>
    </xf>
    <xf numFmtId="3" fontId="8" fillId="0" borderId="0" pivotButton="0" quotePrefix="1" xfId="0"/>
    <xf numFmtId="167" fontId="8" fillId="0" borderId="0" pivotButton="0" quotePrefix="0" xfId="0"/>
    <xf numFmtId="0" fontId="7" fillId="0" borderId="0" pivotButton="0" quotePrefix="0" xfId="0"/>
    <xf numFmtId="1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49" fontId="8" fillId="0" borderId="0" pivotButton="0" quotePrefix="0" xfId="0"/>
    <xf numFmtId="164" fontId="8" fillId="0" borderId="1" pivotButton="0" quotePrefix="0" xfId="0"/>
    <xf numFmtId="165" fontId="8" fillId="0" borderId="1" pivotButton="0" quotePrefix="0" xfId="0"/>
    <xf numFmtId="166" fontId="9" fillId="0" borderId="1" pivotButton="0" quotePrefix="0" xfId="0"/>
    <xf numFmtId="2" fontId="8" fillId="0" borderId="1" pivotButton="0" quotePrefix="0" xfId="0"/>
    <xf numFmtId="165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horizontal="right" vertical="center"/>
    </xf>
    <xf numFmtId="171" fontId="3" fillId="0" borderId="0" pivotButton="0" quotePrefix="0" xfId="0"/>
    <xf numFmtId="0" fontId="3" fillId="2" borderId="0" pivotButton="0" quotePrefix="0" xfId="0"/>
    <xf numFmtId="167" fontId="7" fillId="0" borderId="0" applyAlignment="1" pivotButton="0" quotePrefix="0" xfId="0">
      <alignment vertical="center"/>
    </xf>
    <xf numFmtId="167" fontId="44" fillId="0" borderId="0" applyAlignment="1" pivotButton="0" quotePrefix="0" xfId="1">
      <alignment vertical="center"/>
    </xf>
    <xf numFmtId="167" fontId="7" fillId="2" borderId="0" applyAlignment="1" pivotButton="0" quotePrefix="0" xfId="0">
      <alignment vertical="center"/>
    </xf>
    <xf numFmtId="167" fontId="9" fillId="0" borderId="0" pivotButton="0" quotePrefix="0" xfId="0"/>
    <xf numFmtId="2" fontId="3" fillId="0" borderId="1" pivotButton="0" quotePrefix="0" xfId="0"/>
    <xf numFmtId="165" fontId="7" fillId="0" borderId="0" applyAlignment="1" pivotButton="0" quotePrefix="0" xfId="0">
      <alignment horizontal="right"/>
    </xf>
    <xf numFmtId="165" fontId="8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164" fontId="8" fillId="0" borderId="0" pivotButton="0" quotePrefix="0" xfId="0"/>
    <xf numFmtId="0" fontId="8" fillId="0" borderId="0" pivotButton="0" quotePrefix="0" xfId="0"/>
    <xf numFmtId="0" fontId="8" fillId="0" borderId="0" pivotButton="0" quotePrefix="0" xfId="0"/>
    <xf numFmtId="166" fontId="9" fillId="0" borderId="0" pivotButton="0" quotePrefix="0" xfId="0"/>
    <xf numFmtId="165" fontId="3" fillId="0" borderId="0" pivotButton="0" quotePrefix="0" xfId="0"/>
    <xf numFmtId="2" fontId="8" fillId="0" borderId="0" pivotButton="0" quotePrefix="0" xfId="0"/>
    <xf numFmtId="165" fontId="7" fillId="0" borderId="0" applyAlignment="1" pivotButton="0" quotePrefix="0" xfId="0">
      <alignment horizontal="right"/>
    </xf>
    <xf numFmtId="2" fontId="4" fillId="0" borderId="0" pivotButton="0" quotePrefix="0" xfId="0"/>
    <xf numFmtId="165" fontId="8" fillId="0" borderId="0" applyAlignment="1" pivotButton="0" quotePrefix="0" xfId="0">
      <alignment horizontal="right" vertical="center"/>
    </xf>
    <xf numFmtId="49" fontId="8" fillId="0" borderId="0" pivotButton="0" quotePrefix="0" xfId="0"/>
    <xf numFmtId="0" fontId="5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172" fontId="3" fillId="0" borderId="0" applyAlignment="1" pivotButton="0" quotePrefix="0" xfId="0">
      <alignment vertical="center"/>
    </xf>
    <xf numFmtId="172" fontId="3" fillId="0" borderId="1" applyAlignment="1" pivotButton="0" quotePrefix="0" xfId="0">
      <alignment vertical="center"/>
    </xf>
    <xf numFmtId="1" fontId="3" fillId="0" borderId="0" pivotButton="0" quotePrefix="0" xfId="0"/>
    <xf numFmtId="172" fontId="3" fillId="0" borderId="0" applyAlignment="1" pivotButton="0" quotePrefix="0" xfId="0">
      <alignment vertical="center"/>
    </xf>
    <xf numFmtId="166" fontId="3" fillId="0" borderId="0" pivotButton="0" quotePrefix="0" xfId="0"/>
    <xf numFmtId="172" fontId="3" fillId="0" borderId="0" pivotButton="0" quotePrefix="0" xfId="0"/>
    <xf numFmtId="167" fontId="8" fillId="0" borderId="0" pivotButton="0" quotePrefix="0" xfId="0"/>
    <xf numFmtId="167" fontId="7" fillId="0" borderId="0" applyAlignment="1" pivotButton="0" quotePrefix="0" xfId="0">
      <alignment horizontal="right"/>
    </xf>
    <xf numFmtId="167" fontId="8" fillId="0" borderId="1" pivotButton="0" quotePrefix="0" xfId="0"/>
    <xf numFmtId="172" fontId="5" fillId="0" borderId="0" pivotButton="0" quotePrefix="0" xfId="0"/>
    <xf numFmtId="0" fontId="9" fillId="0" borderId="0" pivotButton="0" quotePrefix="0" xfId="0"/>
    <xf numFmtId="171" fontId="5" fillId="0" borderId="0" pivotButton="0" quotePrefix="0" xfId="0"/>
    <xf numFmtId="173" fontId="5" fillId="0" borderId="0" pivotButton="0" quotePrefix="0" xfId="0"/>
    <xf numFmtId="165" fontId="7" fillId="0" borderId="0" applyAlignment="1" pivotButton="0" quotePrefix="0" xfId="0">
      <alignment vertical="center"/>
    </xf>
    <xf numFmtId="165" fontId="9" fillId="0" borderId="0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/>
    </xf>
    <xf numFmtId="170" fontId="44" fillId="0" borderId="0" pivotButton="0" quotePrefix="0" xfId="0"/>
    <xf numFmtId="174" fontId="3" fillId="0" borderId="0" pivotButton="0" quotePrefix="0" xfId="0"/>
    <xf numFmtId="0" fontId="3" fillId="0" borderId="0" applyAlignment="1" pivotButton="0" quotePrefix="1" xfId="0">
      <alignment horizontal="center" vertical="center"/>
    </xf>
    <xf numFmtId="167" fontId="7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 vertical="center"/>
    </xf>
    <xf numFmtId="2" fontId="45" fillId="0" borderId="0" pivotButton="0" quotePrefix="0" xfId="0"/>
    <xf numFmtId="0" fontId="8" fillId="0" borderId="0" pivotButton="0" quotePrefix="1" xfId="0"/>
    <xf numFmtId="2" fontId="45" fillId="0" borderId="0" applyAlignment="1" pivotButton="0" quotePrefix="0" xfId="0">
      <alignment horizontal="right"/>
    </xf>
    <xf numFmtId="1" fontId="45" fillId="0" borderId="0" pivotButton="0" quotePrefix="0" xfId="0"/>
    <xf numFmtId="1" fontId="4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pivotButton="0" quotePrefix="0" xfId="0"/>
    <xf numFmtId="0" fontId="3" fillId="0" borderId="0" applyAlignment="1" pivotButton="0" quotePrefix="0" xfId="0">
      <alignment horizontal="center" vertical="center"/>
    </xf>
    <xf numFmtId="170" fontId="5" fillId="0" borderId="0" pivotButton="0" quotePrefix="0" xfId="0"/>
    <xf numFmtId="0" fontId="3" fillId="3" borderId="0" applyAlignment="1" pivotButton="0" quotePrefix="1" xfId="0">
      <alignment horizontal="center" vertical="center"/>
    </xf>
    <xf numFmtId="0" fontId="3" fillId="3" borderId="0" applyAlignment="1" pivotButton="0" quotePrefix="1" xfId="0">
      <alignment vertical="center"/>
    </xf>
    <xf numFmtId="170" fontId="9" fillId="0" borderId="0" pivotButton="0" quotePrefix="0" xfId="0"/>
    <xf numFmtId="172" fontId="8" fillId="0" borderId="0" applyAlignment="1" pivotButton="0" quotePrefix="0" xfId="0">
      <alignment vertical="center"/>
    </xf>
    <xf numFmtId="165" fontId="8" fillId="0" borderId="1" applyAlignment="1" pivotButton="0" quotePrefix="0" xfId="0">
      <alignment horizontal="right" vertical="center"/>
    </xf>
    <xf numFmtId="9" fontId="8" fillId="0" borderId="0" applyAlignment="1" pivotButton="0" quotePrefix="1" xfId="0">
      <alignment horizontal="right"/>
    </xf>
    <xf numFmtId="170" fontId="3" fillId="0" borderId="0" applyAlignment="1" pivotButton="0" quotePrefix="0" xfId="0">
      <alignment vertical="center"/>
    </xf>
    <xf numFmtId="2" fontId="7" fillId="0" borderId="0" pivotButton="0" quotePrefix="0" xfId="0"/>
    <xf numFmtId="0" fontId="19" fillId="0" borderId="0" applyAlignment="1" pivotButton="0" quotePrefix="0" xfId="0">
      <alignment horizontal="right"/>
    </xf>
    <xf numFmtId="174" fontId="45" fillId="0" borderId="0" pivotButton="0" quotePrefix="0" xfId="0"/>
    <xf numFmtId="0" fontId="45" fillId="0" borderId="0" pivotButton="0" quotePrefix="0" xfId="0"/>
    <xf numFmtId="2" fontId="3" fillId="0" borderId="0" applyAlignment="1" pivotButton="0" quotePrefix="0" xfId="0">
      <alignment horizontal="right"/>
    </xf>
    <xf numFmtId="4" fontId="23" fillId="0" borderId="0" applyAlignment="1" pivotButton="0" quotePrefix="0" xfId="0">
      <alignment horizontal="center" vertical="center"/>
    </xf>
    <xf numFmtId="4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8" fillId="0" borderId="0" pivotButton="0" quotePrefix="1" xfId="0"/>
    <xf numFmtId="167" fontId="4" fillId="0" borderId="0" pivotButton="0" quotePrefix="0" xfId="0"/>
    <xf numFmtId="0" fontId="3" fillId="0" borderId="1" applyAlignment="1" pivotButton="0" quotePrefix="1" xfId="0">
      <alignment horizontal="right"/>
    </xf>
    <xf numFmtId="174" fontId="4" fillId="0" borderId="0" pivotButton="0" quotePrefix="0" xfId="0"/>
    <xf numFmtId="0" fontId="9" fillId="0" borderId="0" applyAlignment="1" pivotButton="0" quotePrefix="0" xfId="0">
      <alignment horizontal="center" vertical="center"/>
    </xf>
    <xf numFmtId="2" fontId="4" fillId="0" borderId="0" pivotButton="0" quotePrefix="0" xfId="0"/>
    <xf numFmtId="0" fontId="3" fillId="0" borderId="1" applyAlignment="1" pivotButton="0" quotePrefix="0" xfId="0">
      <alignment horizontal="right"/>
    </xf>
    <xf numFmtId="165" fontId="9" fillId="0" borderId="0" applyAlignment="1" pivotButton="0" quotePrefix="0" xfId="0">
      <alignment vertical="center"/>
    </xf>
    <xf numFmtId="167" fontId="30" fillId="0" borderId="0" applyAlignment="1" pivotButton="0" quotePrefix="0" xfId="1">
      <alignment horizontal="right" vertical="center"/>
    </xf>
    <xf numFmtId="0" fontId="31" fillId="0" borderId="0" pivotButton="0" quotePrefix="0" xfId="0"/>
    <xf numFmtId="0" fontId="33" fillId="0" borderId="0" pivotButton="0" quotePrefix="0" xfId="0"/>
    <xf numFmtId="165" fontId="8" fillId="0" borderId="0" applyAlignment="1" pivotButton="0" quotePrefix="0" xfId="0">
      <alignment vertical="center"/>
    </xf>
    <xf numFmtId="165" fontId="35" fillId="0" borderId="1" applyAlignment="1" pivotButton="0" quotePrefix="0" xfId="0">
      <alignment horizontal="right" vertical="center"/>
    </xf>
    <xf numFmtId="0" fontId="36" fillId="0" borderId="0" applyAlignment="1" pivotButton="0" quotePrefix="0" xfId="0">
      <alignment vertical="center"/>
    </xf>
    <xf numFmtId="2" fontId="3" fillId="0" borderId="0" pivotButton="0" quotePrefix="0" xfId="0"/>
    <xf numFmtId="0" fontId="38" fillId="0" borderId="0" applyAlignment="1" pivotButton="0" quotePrefix="0" xfId="0">
      <alignment vertical="center"/>
    </xf>
    <xf numFmtId="0" fontId="39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center" vertical="center"/>
    </xf>
    <xf numFmtId="166" fontId="5" fillId="0" borderId="1" pivotButton="0" quotePrefix="0" xfId="0"/>
    <xf numFmtId="0" fontId="42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72" fontId="42" fillId="0" borderId="0" applyAlignment="1" pivotButton="0" quotePrefix="0" xfId="0">
      <alignment vertical="center"/>
    </xf>
    <xf numFmtId="0" fontId="42" fillId="0" borderId="0" pivotButton="0" quotePrefix="0" xfId="0"/>
    <xf numFmtId="170" fontId="42" fillId="0" borderId="0" applyAlignment="1" pivotButton="0" quotePrefix="0" xfId="0">
      <alignment vertical="center"/>
    </xf>
    <xf numFmtId="170" fontId="42" fillId="0" borderId="0" pivotButton="0" quotePrefix="0" xfId="0"/>
    <xf numFmtId="170" fontId="43" fillId="0" borderId="0" applyAlignment="1" pivotButton="0" quotePrefix="0" xfId="0">
      <alignment vertical="center"/>
    </xf>
    <xf numFmtId="170" fontId="43" fillId="0" borderId="0" pivotButton="0" quotePrefix="0" xfId="0"/>
    <xf numFmtId="1" fontId="42" fillId="0" borderId="0" applyAlignment="1" pivotButton="0" quotePrefix="0" xfId="0">
      <alignment horizontal="center" vertical="center"/>
    </xf>
    <xf numFmtId="2" fontId="3" fillId="0" borderId="0" pivotButton="0" quotePrefix="0" xfId="0"/>
    <xf numFmtId="2" fontId="4" fillId="2" borderId="0" pivotButton="0" quotePrefix="0" xfId="0"/>
    <xf numFmtId="0" fontId="5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" fontId="4" fillId="0" borderId="0" applyAlignment="1" pivotButton="0" quotePrefix="0" xfId="0">
      <alignment vertical="center"/>
    </xf>
    <xf numFmtId="0" fontId="15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6" fillId="0" borderId="0" pivotButton="0" quotePrefix="0" xfId="0"/>
    <xf numFmtId="172" fontId="3" fillId="0" borderId="0" applyAlignment="1" pivotButton="0" quotePrefix="0" xfId="0">
      <alignment vertical="center"/>
    </xf>
    <xf numFmtId="164" fontId="3" fillId="0" borderId="0" pivotButton="0" quotePrefix="0" xfId="0"/>
    <xf numFmtId="165" fontId="3" fillId="0" borderId="0" pivotButton="0" quotePrefix="0" xfId="0"/>
    <xf numFmtId="167" fontId="7" fillId="0" borderId="0" applyAlignment="1" pivotButton="0" quotePrefix="0" xfId="0">
      <alignment vertical="center"/>
    </xf>
    <xf numFmtId="174" fontId="45" fillId="0" borderId="0" pivotButton="0" quotePrefix="0" xfId="0"/>
    <xf numFmtId="166" fontId="3" fillId="0" borderId="0" pivotButton="0" quotePrefix="0" xfId="0"/>
    <xf numFmtId="166" fontId="5" fillId="0" borderId="0" pivotButton="0" quotePrefix="0" xfId="0"/>
    <xf numFmtId="165" fontId="5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/>
    </xf>
    <xf numFmtId="167" fontId="8" fillId="0" borderId="0" pivotButton="0" quotePrefix="0" xfId="0"/>
    <xf numFmtId="167" fontId="3" fillId="0" borderId="0" pivotButton="0" quotePrefix="0" xfId="0"/>
    <xf numFmtId="165" fontId="3" fillId="0" borderId="0" applyAlignment="1" pivotButton="0" quotePrefix="0" xfId="0">
      <alignment horizontal="right"/>
    </xf>
    <xf numFmtId="167" fontId="9" fillId="0" borderId="0" pivotButton="0" quotePrefix="0" xfId="0"/>
    <xf numFmtId="165" fontId="5" fillId="0" borderId="0" pivotButton="0" quotePrefix="0" xfId="0"/>
    <xf numFmtId="169" fontId="3" fillId="0" borderId="0" pivotButton="0" quotePrefix="0" xfId="0"/>
    <xf numFmtId="170" fontId="3" fillId="0" borderId="0" applyAlignment="1" pivotButton="0" quotePrefix="0" xfId="0">
      <alignment vertical="center"/>
    </xf>
    <xf numFmtId="167" fontId="7" fillId="2" borderId="0" applyAlignment="1" pivotButton="0" quotePrefix="0" xfId="0">
      <alignment vertical="center"/>
    </xf>
    <xf numFmtId="172" fontId="8" fillId="0" borderId="0" applyAlignment="1" pivotButton="0" quotePrefix="0" xfId="0">
      <alignment vertical="center"/>
    </xf>
    <xf numFmtId="172" fontId="3" fillId="0" borderId="1" applyAlignment="1" pivotButton="0" quotePrefix="0" xfId="0">
      <alignment vertical="center"/>
    </xf>
    <xf numFmtId="164" fontId="3" fillId="0" borderId="1" pivotButton="0" quotePrefix="0" xfId="0"/>
    <xf numFmtId="165" fontId="3" fillId="0" borderId="1" pivotButton="0" quotePrefix="0" xfId="0"/>
    <xf numFmtId="174" fontId="3" fillId="0" borderId="0" pivotButton="0" quotePrefix="0" xfId="0"/>
    <xf numFmtId="164" fontId="3" fillId="0" borderId="0" applyAlignment="1" pivotButton="0" quotePrefix="0" xfId="0">
      <alignment vertical="center"/>
    </xf>
    <xf numFmtId="166" fontId="5" fillId="0" borderId="1" pivotButton="0" quotePrefix="0" xfId="0"/>
    <xf numFmtId="172" fontId="42" fillId="0" borderId="0" applyAlignment="1" pivotButton="0" quotePrefix="0" xfId="0">
      <alignment vertical="center"/>
    </xf>
    <xf numFmtId="170" fontId="42" fillId="0" borderId="0" applyAlignment="1" pivotButton="0" quotePrefix="0" xfId="0">
      <alignment vertical="center"/>
    </xf>
    <xf numFmtId="170" fontId="42" fillId="0" borderId="0" pivotButton="0" quotePrefix="0" xfId="0"/>
    <xf numFmtId="170" fontId="43" fillId="0" borderId="0" applyAlignment="1" pivotButton="0" quotePrefix="0" xfId="0">
      <alignment vertical="center"/>
    </xf>
    <xf numFmtId="170" fontId="43" fillId="0" borderId="0" pivotButton="0" quotePrefix="0" xfId="0"/>
    <xf numFmtId="166" fontId="8" fillId="0" borderId="0" pivotButton="0" quotePrefix="0" xfId="0"/>
    <xf numFmtId="164" fontId="8" fillId="0" borderId="0" pivotButton="0" quotePrefix="0" xfId="0"/>
    <xf numFmtId="166" fontId="9" fillId="0" borderId="0" pivotButton="0" quotePrefix="0" xfId="0"/>
    <xf numFmtId="167" fontId="44" fillId="0" borderId="0" applyAlignment="1" pivotButton="0" quotePrefix="0" xfId="1">
      <alignment vertical="center"/>
    </xf>
    <xf numFmtId="174" fontId="4" fillId="0" borderId="0" pivotButton="0" quotePrefix="0" xfId="0"/>
    <xf numFmtId="165" fontId="9" fillId="0" borderId="0" applyAlignment="1" pivotButton="0" quotePrefix="0" xfId="0">
      <alignment vertical="center"/>
    </xf>
    <xf numFmtId="164" fontId="8" fillId="0" borderId="1" pivotButton="0" quotePrefix="0" xfId="0"/>
    <xf numFmtId="167" fontId="8" fillId="0" borderId="1" pivotButton="0" quotePrefix="0" xfId="0"/>
    <xf numFmtId="165" fontId="8" fillId="0" borderId="0" applyAlignment="1" pivotButton="0" quotePrefix="0" xfId="0">
      <alignment horizontal="right" vertical="center"/>
    </xf>
    <xf numFmtId="165" fontId="8" fillId="0" borderId="0" pivotButton="0" quotePrefix="0" xfId="0"/>
    <xf numFmtId="167" fontId="30" fillId="0" borderId="0" applyAlignment="1" pivotButton="0" quotePrefix="0" xfId="1">
      <alignment horizontal="right" vertical="center"/>
    </xf>
    <xf numFmtId="165" fontId="35" fillId="0" borderId="1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/>
    </xf>
    <xf numFmtId="166" fontId="9" fillId="0" borderId="1" pivotButton="0" quotePrefix="0" xfId="0"/>
    <xf numFmtId="165" fontId="8" fillId="0" borderId="0" applyAlignment="1" pivotButton="0" quotePrefix="0" xfId="0">
      <alignment vertical="center"/>
    </xf>
    <xf numFmtId="167" fontId="7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5" fontId="8" fillId="0" borderId="1" pivotButton="0" quotePrefix="0" xfId="0"/>
    <xf numFmtId="172" fontId="5" fillId="0" borderId="0" pivotButton="0" quotePrefix="0" xfId="0"/>
    <xf numFmtId="170" fontId="5" fillId="0" borderId="0" pivotButton="0" quotePrefix="0" xfId="0"/>
    <xf numFmtId="171" fontId="5" fillId="0" borderId="0" pivotButton="0" quotePrefix="0" xfId="0"/>
    <xf numFmtId="173" fontId="5" fillId="0" borderId="0" pivotButton="0" quotePrefix="0" xfId="0"/>
    <xf numFmtId="165" fontId="7" fillId="0" borderId="0" applyAlignment="1" pivotButton="0" quotePrefix="0" xfId="0">
      <alignment vertical="center"/>
    </xf>
    <xf numFmtId="170" fontId="44" fillId="0" borderId="0" pivotButton="0" quotePrefix="0" xfId="0"/>
    <xf numFmtId="165" fontId="9" fillId="0" borderId="0" applyAlignment="1" pivotButton="0" quotePrefix="0" xfId="0">
      <alignment horizontal="right" vertical="center"/>
    </xf>
    <xf numFmtId="170" fontId="9" fillId="0" borderId="0" pivotButton="0" quotePrefix="0" xfId="0"/>
    <xf numFmtId="165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horizontal="right" vertical="center"/>
    </xf>
    <xf numFmtId="172" fontId="3" fillId="0" borderId="0" pivotButton="0" quotePrefix="0" xfId="0"/>
    <xf numFmtId="171" fontId="3" fillId="0" borderId="0" pivotButton="0" quotePrefix="0" xfId="0"/>
    <xf numFmtId="167" fontId="4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CJQ</author>
  </authors>
  <commentList>
    <comment ref="T13" authorId="0" shapeId="0">
      <text>
        <t>CJQ:
20190318报价</t>
      </text>
    </comment>
    <comment ref="T23" authorId="0" shapeId="0">
      <text>
        <t>CJQ:
20190318报价</t>
      </text>
    </comment>
    <comment ref="T29" authorId="0" shapeId="0">
      <text>
        <t>CJQ:
20190318报价</t>
      </text>
    </comment>
    <comment ref="Q134" authorId="0" shapeId="0">
      <text>
        <t>CJQ:
10.17电话确认</t>
      </text>
    </comment>
    <comment ref="T136" authorId="0" shapeId="0">
      <text>
        <t>CJQ:
10.17电话确认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0"/>
  <sheetViews>
    <sheetView tabSelected="1" workbookViewId="0">
      <pane ySplit="3" topLeftCell="A4" activePane="bottomLeft" state="frozen"/>
      <selection pane="bottomLeft" activeCell="C4" sqref="C4"/>
    </sheetView>
  </sheetViews>
  <sheetFormatPr baseColWidth="8" defaultColWidth="9" defaultRowHeight="15.65" customHeight="1"/>
  <cols>
    <col width="12.6640625" customWidth="1" style="76" min="1" max="1"/>
    <col width="12.33203125" customWidth="1" style="76" min="2" max="2"/>
    <col width="12.33203125" customWidth="1" style="76" min="3" max="3"/>
    <col width="11.33203125" customWidth="1" style="76" min="4" max="4"/>
    <col width="7.25" customWidth="1" style="76" min="5" max="5"/>
    <col width="6.83203125" customWidth="1" style="76" min="6" max="6"/>
    <col width="4.83203125" customWidth="1" style="76" min="7" max="7"/>
    <col width="6.08203125" customWidth="1" style="76" min="8" max="8"/>
    <col width="4.5" customWidth="1" style="76" min="9" max="9"/>
    <col width="5.58203125" customWidth="1" style="76" min="10" max="10"/>
    <col width="4.5" customWidth="1" style="76" min="11" max="11"/>
    <col width="6.33203125" customWidth="1" style="76" min="12" max="13"/>
    <col width="5.58203125" customWidth="1" style="76" min="14" max="14"/>
    <col width="5.33203125" customWidth="1" style="76" min="15" max="15"/>
    <col width="7.83203125" customWidth="1" style="76" min="16" max="16"/>
    <col width="6.5" customWidth="1" style="2" min="17" max="17"/>
    <col width="9.4140625" customWidth="1" style="2" min="18" max="18"/>
    <col width="7.83203125" customWidth="1" style="2" min="19" max="19"/>
    <col width="6.08203125" customWidth="1" style="76" min="20" max="20"/>
    <col width="8.58203125" customWidth="1" style="76" min="21" max="21"/>
    <col width="6.6640625" customWidth="1" style="76" min="22" max="22"/>
    <col width="7.58203125" customWidth="1" style="76" min="23" max="23"/>
    <col width="7.33203125" customWidth="1" style="76" min="24" max="24"/>
    <col width="8.33203125" customWidth="1" style="76" min="25" max="25"/>
    <col width="6" customWidth="1" style="3" min="26" max="26"/>
    <col width="8.58203125" customWidth="1" style="76" min="27" max="27"/>
    <col width="9" customWidth="1" style="76" min="28" max="28"/>
    <col width="15.58203125" customWidth="1" style="76" min="29" max="29"/>
    <col width="9" customWidth="1" style="76" min="30" max="16384"/>
  </cols>
  <sheetData>
    <row r="1" ht="15.65" customHeight="1">
      <c r="Q1" s="137" t="inlineStr">
        <is>
          <t>原价*85%</t>
        </is>
      </c>
    </row>
    <row r="2" ht="15.65" customHeight="1">
      <c r="F2" s="162" t="inlineStr">
        <is>
          <t>已经发货</t>
        </is>
      </c>
      <c r="G2" s="76" t="inlineStr">
        <is>
          <t>Pcs</t>
        </is>
      </c>
      <c r="L2" s="76" t="inlineStr">
        <is>
          <t>Kgs</t>
        </is>
      </c>
      <c r="N2" s="76" t="inlineStr">
        <is>
          <t>Pcs</t>
        </is>
      </c>
      <c r="S2" s="136" t="inlineStr">
        <is>
          <t>原价</t>
        </is>
      </c>
    </row>
    <row r="3" ht="15.65" customHeight="1">
      <c r="A3" s="76" t="inlineStr">
        <is>
          <t>规格</t>
        </is>
      </c>
      <c r="B3" s="76" t="inlineStr">
        <is>
          <t>货号</t>
        </is>
      </c>
      <c r="C3" s="164" t="inlineStr">
        <is>
          <t>客人的新货号</t>
        </is>
      </c>
      <c r="D3" s="76" t="inlineStr">
        <is>
          <t>颜色</t>
        </is>
      </c>
      <c r="E3" s="77" t="inlineStr">
        <is>
          <t>数量</t>
        </is>
      </c>
      <c r="F3" s="118" t="n"/>
      <c r="G3" s="76" t="inlineStr">
        <is>
          <t>/Ctn</t>
        </is>
      </c>
      <c r="H3" s="76" t="inlineStr">
        <is>
          <t>Ctns</t>
        </is>
      </c>
      <c r="I3" s="76" t="inlineStr">
        <is>
          <t>L</t>
        </is>
      </c>
      <c r="J3" s="76" t="inlineStr">
        <is>
          <t>W</t>
        </is>
      </c>
      <c r="K3" s="76" t="inlineStr">
        <is>
          <t>H</t>
        </is>
      </c>
      <c r="L3" s="76" t="inlineStr">
        <is>
          <t>/Ctn</t>
        </is>
      </c>
      <c r="M3" s="76" t="inlineStr">
        <is>
          <t>Meas</t>
        </is>
      </c>
      <c r="N3" s="76" t="inlineStr">
        <is>
          <t>/Plt</t>
        </is>
      </c>
      <c r="P3" s="76" t="inlineStr">
        <is>
          <t>W.T.</t>
        </is>
      </c>
      <c r="Q3" s="2" t="inlineStr">
        <is>
          <t>净价</t>
        </is>
      </c>
      <c r="R3" s="2" t="inlineStr">
        <is>
          <t>Amount</t>
        </is>
      </c>
      <c r="S3" s="2" t="inlineStr">
        <is>
          <t>Unit Prc</t>
        </is>
      </c>
      <c r="T3" s="76" t="inlineStr">
        <is>
          <t>收价</t>
        </is>
      </c>
      <c r="U3" s="76" t="inlineStr">
        <is>
          <t>总共</t>
        </is>
      </c>
      <c r="V3" s="77" t="n"/>
      <c r="W3" s="120" t="inlineStr">
        <is>
          <t>2021.05 实价</t>
        </is>
      </c>
      <c r="X3" s="76" t="inlineStr">
        <is>
          <t>单价</t>
        </is>
      </c>
      <c r="Y3" s="76" t="inlineStr">
        <is>
          <t>合计</t>
        </is>
      </c>
      <c r="Z3" s="3" t="inlineStr">
        <is>
          <t>报关价</t>
        </is>
      </c>
      <c r="AA3" s="3" t="inlineStr">
        <is>
          <t>合计</t>
        </is>
      </c>
      <c r="AC3" s="76" t="inlineStr">
        <is>
          <t>条码</t>
        </is>
      </c>
    </row>
    <row r="4" ht="15.65" customHeight="1">
      <c r="A4" s="3" t="inlineStr">
        <is>
          <t>装饰架子</t>
        </is>
      </c>
      <c r="C4" s="76" t="n"/>
      <c r="S4" s="2" t="inlineStr">
        <is>
          <t>2021.05 新价</t>
        </is>
      </c>
      <c r="T4" s="2" t="inlineStr">
        <is>
          <t>2015.6 新价</t>
        </is>
      </c>
      <c r="W4" s="120" t="n"/>
    </row>
    <row r="5" ht="15.65" customHeight="1">
      <c r="A5" s="9" t="inlineStr">
        <is>
          <t>外圆弧-150</t>
        </is>
      </c>
      <c r="B5" s="104" t="inlineStr">
        <is>
          <t>2-1460.150.R</t>
        </is>
      </c>
      <c r="C5" s="125" t="inlineStr">
        <is>
          <t>000460150000000</t>
        </is>
      </c>
      <c r="D5" s="76" t="inlineStr">
        <is>
          <t>简装毛胚</t>
        </is>
      </c>
      <c r="E5" s="165" t="n"/>
      <c r="F5" s="165" t="n"/>
      <c r="G5" s="76" t="n">
        <v>168</v>
      </c>
      <c r="H5" s="166">
        <f>E5/G5</f>
        <v/>
      </c>
      <c r="I5" s="167" t="n">
        <v>0.4</v>
      </c>
      <c r="J5" s="167" t="n">
        <v>0.3</v>
      </c>
      <c r="K5" s="76" t="n">
        <v>0.21</v>
      </c>
      <c r="L5" s="76" t="n">
        <v>19.5</v>
      </c>
      <c r="M5" s="167">
        <f>H5*I5*J5*K5</f>
        <v/>
      </c>
      <c r="P5" s="157">
        <f>H5*L5</f>
        <v/>
      </c>
      <c r="Q5" s="168" t="n">
        <v>0.403</v>
      </c>
      <c r="R5" s="132">
        <f>E5*Q5</f>
        <v/>
      </c>
      <c r="S5" s="168" t="n">
        <v>0.474</v>
      </c>
      <c r="T5" s="167" t="n">
        <v>2</v>
      </c>
      <c r="U5" s="157">
        <f>E5*T5</f>
        <v/>
      </c>
      <c r="W5" s="169">
        <f>T5*1.17*1.18</f>
        <v/>
      </c>
      <c r="X5" s="157">
        <f>E5*W5</f>
        <v/>
      </c>
    </row>
    <row r="6" ht="15.65" customHeight="1">
      <c r="A6" s="9" t="n"/>
      <c r="B6" s="159" t="inlineStr">
        <is>
          <t>2-1460.150.01</t>
        </is>
      </c>
      <c r="C6" s="125" t="inlineStr">
        <is>
          <t>000460150000102</t>
        </is>
      </c>
      <c r="D6" s="9" t="inlineStr">
        <is>
          <t>白色</t>
        </is>
      </c>
      <c r="E6" s="165" t="n"/>
      <c r="F6" s="165" t="n"/>
      <c r="G6" s="170" t="n">
        <v>108</v>
      </c>
      <c r="H6" s="166">
        <f>E6/G6</f>
        <v/>
      </c>
      <c r="I6" s="76" t="n">
        <v>0.77</v>
      </c>
      <c r="J6" s="76" t="n">
        <v>0.37</v>
      </c>
      <c r="K6" s="76" t="n">
        <v>0.23</v>
      </c>
      <c r="L6" s="76" t="n">
        <v>23.5</v>
      </c>
      <c r="M6" s="167">
        <f>H6*I6*J6*K6</f>
        <v/>
      </c>
      <c r="N6" s="171" t="n">
        <v>1296</v>
      </c>
      <c r="O6" s="167">
        <f>E6/N6</f>
        <v/>
      </c>
      <c r="P6" s="157">
        <f>H6*L6</f>
        <v/>
      </c>
      <c r="Q6" s="168" t="n">
        <v>0.524</v>
      </c>
      <c r="R6" s="132">
        <f>E6*Q6</f>
        <v/>
      </c>
      <c r="S6" s="168" t="n">
        <v>0.616</v>
      </c>
      <c r="T6" s="172" t="n">
        <v>2.7</v>
      </c>
      <c r="U6" s="157">
        <f>E6*T6</f>
        <v/>
      </c>
      <c r="V6" s="13" t="n"/>
      <c r="W6" s="169">
        <f>T6*1.17*1.18</f>
        <v/>
      </c>
      <c r="X6" s="157">
        <f>E6*W6</f>
        <v/>
      </c>
      <c r="AC6" s="15" t="n">
        <v>8423224784556</v>
      </c>
    </row>
    <row r="7" ht="15.65" customHeight="1">
      <c r="A7" s="9" t="n"/>
      <c r="B7" s="104" t="inlineStr">
        <is>
          <t>2-1460.150.18</t>
        </is>
      </c>
      <c r="C7" s="125" t="inlineStr">
        <is>
          <t>000460150001802</t>
        </is>
      </c>
      <c r="D7" s="9" t="inlineStr">
        <is>
          <t>亚光黑</t>
        </is>
      </c>
      <c r="E7" s="165" t="n"/>
      <c r="F7" s="165" t="n"/>
      <c r="G7" s="170" t="n">
        <v>108</v>
      </c>
      <c r="H7" s="166">
        <f>E7/G7</f>
        <v/>
      </c>
      <c r="I7" s="76" t="n">
        <v>0.77</v>
      </c>
      <c r="J7" s="76" t="n">
        <v>0.37</v>
      </c>
      <c r="K7" s="76" t="n">
        <v>0.23</v>
      </c>
      <c r="L7" s="76" t="n">
        <v>23.5</v>
      </c>
      <c r="M7" s="167">
        <f>H7*I7*J7*K7</f>
        <v/>
      </c>
      <c r="N7" s="171" t="n">
        <v>1296</v>
      </c>
      <c r="O7" s="167">
        <f>E7/N7</f>
        <v/>
      </c>
      <c r="P7" s="157">
        <f>H7*L7</f>
        <v/>
      </c>
      <c r="Q7" s="168" t="n"/>
      <c r="R7" s="132">
        <f>E7*Q7</f>
        <v/>
      </c>
      <c r="S7" s="168" t="n">
        <v>0.616</v>
      </c>
      <c r="T7" s="173" t="n">
        <v>2.7</v>
      </c>
      <c r="U7" s="157">
        <f>E7*T7</f>
        <v/>
      </c>
      <c r="V7" s="77" t="n"/>
      <c r="W7" s="169">
        <f>T7*1.17*1.18</f>
        <v/>
      </c>
      <c r="X7" s="157">
        <f>E7*W7</f>
        <v/>
      </c>
      <c r="AC7" s="15" t="n">
        <v>8423224784563</v>
      </c>
    </row>
    <row r="8" ht="15.65" customHeight="1">
      <c r="A8" s="9" t="n"/>
      <c r="B8" s="159" t="inlineStr">
        <is>
          <t>2-1460.150.38</t>
        </is>
      </c>
      <c r="C8" s="125" t="inlineStr">
        <is>
          <t>000460150003802</t>
        </is>
      </c>
      <c r="D8" s="9" t="inlineStr">
        <is>
          <t>银灰色</t>
        </is>
      </c>
      <c r="E8" s="165" t="n"/>
      <c r="F8" s="165" t="n"/>
      <c r="G8" s="170" t="n">
        <v>108</v>
      </c>
      <c r="H8" s="166">
        <f>E8/G8</f>
        <v/>
      </c>
      <c r="I8" s="76" t="n">
        <v>0.77</v>
      </c>
      <c r="J8" s="76" t="n">
        <v>0.37</v>
      </c>
      <c r="K8" s="76" t="n">
        <v>0.23</v>
      </c>
      <c r="L8" s="76" t="n">
        <v>23.5</v>
      </c>
      <c r="M8" s="167">
        <f>H8*I8*J8*K8</f>
        <v/>
      </c>
      <c r="N8" s="171" t="n">
        <v>1296</v>
      </c>
      <c r="O8" s="167">
        <f>E8/N8</f>
        <v/>
      </c>
      <c r="P8" s="157">
        <f>H8*L8</f>
        <v/>
      </c>
      <c r="Q8" s="168" t="n">
        <v>0.524</v>
      </c>
      <c r="R8" s="132">
        <f>E8*Q8</f>
        <v/>
      </c>
      <c r="S8" s="168" t="n">
        <v>0.616</v>
      </c>
      <c r="T8" s="173" t="n">
        <v>2.7</v>
      </c>
      <c r="U8" s="157">
        <f>E8*T8</f>
        <v/>
      </c>
      <c r="V8" s="77" t="n"/>
      <c r="W8" s="169">
        <f>T8*1.17*1.18</f>
        <v/>
      </c>
      <c r="X8" s="157">
        <f>E8*W8</f>
        <v/>
      </c>
      <c r="AC8" s="15" t="n">
        <v>8423224784570</v>
      </c>
    </row>
    <row r="9" ht="15.65" customHeight="1">
      <c r="A9" s="9" t="n"/>
      <c r="B9" s="104" t="inlineStr">
        <is>
          <t>2-1460.150.16</t>
        </is>
      </c>
      <c r="C9" s="163" t="n"/>
      <c r="D9" s="9" t="inlineStr">
        <is>
          <t>橙色</t>
        </is>
      </c>
      <c r="E9" s="165" t="n"/>
      <c r="F9" s="165" t="n"/>
      <c r="G9" s="170" t="n">
        <v>108</v>
      </c>
      <c r="H9" s="166">
        <f>E9/G9</f>
        <v/>
      </c>
      <c r="I9" s="76" t="n">
        <v>0.77</v>
      </c>
      <c r="J9" s="76" t="n">
        <v>0.37</v>
      </c>
      <c r="K9" s="76" t="n">
        <v>0.23</v>
      </c>
      <c r="L9" s="76" t="n">
        <v>23.5</v>
      </c>
      <c r="M9" s="167">
        <f>H9*I9*J9*K9</f>
        <v/>
      </c>
      <c r="N9" s="171" t="n">
        <v>1296</v>
      </c>
      <c r="O9" s="167">
        <f>E9/N9</f>
        <v/>
      </c>
      <c r="P9" s="157">
        <f>H9*L9</f>
        <v/>
      </c>
      <c r="Q9" s="168" t="n"/>
      <c r="R9" s="132">
        <f>E9*Q9</f>
        <v/>
      </c>
      <c r="S9" s="168" t="n">
        <v>0.629</v>
      </c>
      <c r="T9" s="173" t="n">
        <v>2.76</v>
      </c>
      <c r="U9" s="157">
        <f>E9*T9</f>
        <v/>
      </c>
      <c r="V9" s="17" t="n"/>
      <c r="W9" s="169">
        <f>T9*1.17*1.18</f>
        <v/>
      </c>
      <c r="X9" s="157">
        <f>E9*W9</f>
        <v/>
      </c>
      <c r="AC9" s="15" t="n">
        <v>8423224812952</v>
      </c>
    </row>
    <row r="10" ht="15.65" customHeight="1">
      <c r="A10" s="9" t="n"/>
      <c r="B10" s="104" t="inlineStr">
        <is>
          <t>2-1460.150.07</t>
        </is>
      </c>
      <c r="C10" s="163" t="n"/>
      <c r="D10" s="9" t="inlineStr">
        <is>
          <t>淡黄绿色</t>
        </is>
      </c>
      <c r="E10" s="165" t="n"/>
      <c r="F10" s="165" t="n"/>
      <c r="G10" s="170" t="n">
        <v>108</v>
      </c>
      <c r="H10" s="166">
        <f>E10/G10</f>
        <v/>
      </c>
      <c r="I10" s="76" t="n">
        <v>0.77</v>
      </c>
      <c r="J10" s="76" t="n">
        <v>0.37</v>
      </c>
      <c r="K10" s="76" t="n">
        <v>0.23</v>
      </c>
      <c r="L10" s="76" t="n">
        <v>23.5</v>
      </c>
      <c r="M10" s="167">
        <f>H10*I10*J10*K10</f>
        <v/>
      </c>
      <c r="N10" s="171" t="n">
        <v>1296</v>
      </c>
      <c r="O10" s="167">
        <f>E10/N10</f>
        <v/>
      </c>
      <c r="P10" s="157">
        <f>H10*L10</f>
        <v/>
      </c>
      <c r="Q10" s="168" t="n"/>
      <c r="R10" s="132">
        <f>E10*Q10</f>
        <v/>
      </c>
      <c r="S10" s="168" t="n">
        <v>0.629</v>
      </c>
      <c r="T10" s="173" t="n">
        <v>2.76</v>
      </c>
      <c r="U10" s="157">
        <f>E10*T10</f>
        <v/>
      </c>
      <c r="V10" s="17" t="n"/>
      <c r="W10" s="169">
        <f>T10*1.17*1.18</f>
        <v/>
      </c>
      <c r="X10" s="157">
        <f>E10*W10</f>
        <v/>
      </c>
      <c r="AC10" s="15" t="n">
        <v>8423224807729</v>
      </c>
    </row>
    <row r="11" ht="15.65" customHeight="1">
      <c r="A11" s="9" t="n"/>
      <c r="B11" s="104" t="inlineStr">
        <is>
          <t>2-1460.150.41</t>
        </is>
      </c>
      <c r="C11" s="125" t="inlineStr">
        <is>
          <t>000460150004102</t>
        </is>
      </c>
      <c r="D11" s="9" t="inlineStr">
        <is>
          <t>咖啡色4</t>
        </is>
      </c>
      <c r="E11" s="165" t="n"/>
      <c r="F11" s="165" t="n"/>
      <c r="G11" s="170" t="n">
        <v>108</v>
      </c>
      <c r="H11" s="166">
        <f>E11/G11</f>
        <v/>
      </c>
      <c r="I11" s="76" t="n">
        <v>0.77</v>
      </c>
      <c r="J11" s="76" t="n">
        <v>0.37</v>
      </c>
      <c r="K11" s="76" t="n">
        <v>0.23</v>
      </c>
      <c r="L11" s="76" t="n">
        <v>23.5</v>
      </c>
      <c r="M11" s="167">
        <f>H11*I11*J11*K11</f>
        <v/>
      </c>
      <c r="N11" s="171" t="n">
        <v>1296</v>
      </c>
      <c r="O11" s="167">
        <f>E11/N11</f>
        <v/>
      </c>
      <c r="P11" s="157">
        <f>H11*L11</f>
        <v/>
      </c>
      <c r="Q11" s="168" t="n">
        <v>0.611</v>
      </c>
      <c r="R11" s="132">
        <f>E11*Q11</f>
        <v/>
      </c>
      <c r="S11" s="168" t="n">
        <v>0.719</v>
      </c>
      <c r="T11" s="173" t="n">
        <v>2.98</v>
      </c>
      <c r="U11" s="157">
        <f>E11*T11</f>
        <v/>
      </c>
      <c r="V11" s="17" t="n"/>
      <c r="W11" s="169">
        <f>T11*1.17*1.18</f>
        <v/>
      </c>
      <c r="X11" s="157">
        <f>E11*W11</f>
        <v/>
      </c>
      <c r="AC11" s="15" t="n">
        <v>8423224835685</v>
      </c>
    </row>
    <row r="12" ht="15.65" customHeight="1">
      <c r="A12" s="9" t="n"/>
      <c r="B12" s="104" t="inlineStr">
        <is>
          <t>2-1460.150.35</t>
        </is>
      </c>
      <c r="C12" s="125" t="inlineStr">
        <is>
          <t>000460150001102</t>
        </is>
      </c>
      <c r="D12" s="9" t="inlineStr">
        <is>
          <t>棕色</t>
        </is>
      </c>
      <c r="E12" s="165" t="n"/>
      <c r="F12" s="165" t="n"/>
      <c r="G12" s="170" t="n">
        <v>108</v>
      </c>
      <c r="H12" s="166">
        <f>E12/G12</f>
        <v/>
      </c>
      <c r="I12" s="76" t="n">
        <v>0.77</v>
      </c>
      <c r="J12" s="76" t="n">
        <v>0.37</v>
      </c>
      <c r="K12" s="76" t="n">
        <v>0.23</v>
      </c>
      <c r="L12" s="76" t="n">
        <v>23.5</v>
      </c>
      <c r="M12" s="167">
        <f>H12*I12*J12*K12</f>
        <v/>
      </c>
      <c r="N12" s="171" t="n">
        <v>1296</v>
      </c>
      <c r="O12" s="167">
        <f>E12/N12</f>
        <v/>
      </c>
      <c r="P12" s="157">
        <f>H12*L12</f>
        <v/>
      </c>
      <c r="Q12" s="168" t="n"/>
      <c r="R12" s="132">
        <f>E12*Q12</f>
        <v/>
      </c>
      <c r="S12" s="168" t="n">
        <v>0.719</v>
      </c>
      <c r="T12" s="173" t="n">
        <v>3.05</v>
      </c>
      <c r="U12" s="157">
        <f>E12*T12</f>
        <v/>
      </c>
      <c r="V12" s="17" t="n"/>
      <c r="W12" s="169">
        <f>T12*1.17*1.18</f>
        <v/>
      </c>
      <c r="X12" s="157">
        <f>E12*W12</f>
        <v/>
      </c>
      <c r="AC12" s="15" t="n">
        <v>8423224821213</v>
      </c>
    </row>
    <row r="13" ht="15.65" customHeight="1">
      <c r="A13" s="9" t="n"/>
      <c r="B13" s="159" t="inlineStr">
        <is>
          <t>2-1460.150.21</t>
        </is>
      </c>
      <c r="C13" s="125" t="inlineStr">
        <is>
          <t>000460150002102</t>
        </is>
      </c>
      <c r="D13" s="9" t="inlineStr">
        <is>
          <t>镀铬</t>
        </is>
      </c>
      <c r="E13" s="165" t="n"/>
      <c r="F13" s="165" t="n"/>
      <c r="G13" s="170" t="n">
        <v>108</v>
      </c>
      <c r="H13" s="166">
        <f>E13/G13</f>
        <v/>
      </c>
      <c r="I13" s="76" t="n">
        <v>0.77</v>
      </c>
      <c r="J13" s="76" t="n">
        <v>0.37</v>
      </c>
      <c r="K13" s="76" t="n">
        <v>0.23</v>
      </c>
      <c r="L13" s="76" t="n">
        <v>23.5</v>
      </c>
      <c r="M13" s="167">
        <f>H13*I13*J13*K13</f>
        <v/>
      </c>
      <c r="N13" s="171" t="n">
        <v>1296</v>
      </c>
      <c r="O13" s="167">
        <f>E13/N13</f>
        <v/>
      </c>
      <c r="P13" s="157">
        <f>H13*L13</f>
        <v/>
      </c>
      <c r="Q13" s="168" t="n">
        <v>0.744</v>
      </c>
      <c r="R13" s="132">
        <f>E13*Q13</f>
        <v/>
      </c>
      <c r="S13" s="168" t="n">
        <v>0.875</v>
      </c>
      <c r="T13" s="174" t="n">
        <v>3.641</v>
      </c>
      <c r="U13" s="157">
        <f>E13*T13</f>
        <v/>
      </c>
      <c r="V13" s="17" t="n"/>
      <c r="W13" s="169">
        <f>T13*1.17*1.18</f>
        <v/>
      </c>
      <c r="X13" s="157">
        <f>E13*W13</f>
        <v/>
      </c>
      <c r="AC13" s="15" t="n">
        <v>8423224821220</v>
      </c>
    </row>
    <row r="14" ht="15.65" customHeight="1">
      <c r="A14" s="9" t="n"/>
      <c r="B14" s="104" t="n"/>
      <c r="C14" s="163" t="n"/>
      <c r="D14" s="9" t="n"/>
      <c r="E14" s="165" t="n"/>
      <c r="F14" s="165" t="n"/>
      <c r="G14" s="170" t="n"/>
      <c r="H14" s="166" t="n"/>
      <c r="M14" s="167" t="n"/>
      <c r="N14" s="171" t="n"/>
      <c r="O14" s="167" t="n"/>
      <c r="P14" s="157" t="n"/>
      <c r="Q14" s="168" t="n"/>
      <c r="R14" s="132" t="n"/>
      <c r="S14" s="168" t="n"/>
      <c r="T14" s="172" t="n"/>
      <c r="U14" s="157" t="n"/>
      <c r="V14" s="17" t="n"/>
      <c r="W14" s="169" t="n"/>
      <c r="X14" s="157">
        <f>E14*W14</f>
        <v/>
      </c>
      <c r="AC14" s="15" t="n"/>
    </row>
    <row r="15" ht="15.65" customHeight="1">
      <c r="A15" s="9" t="inlineStr">
        <is>
          <t>外圆弧-200</t>
        </is>
      </c>
      <c r="B15" s="104" t="inlineStr">
        <is>
          <t>2-1460.200.R</t>
        </is>
      </c>
      <c r="C15" s="125" t="inlineStr">
        <is>
          <t>000460200000000</t>
        </is>
      </c>
      <c r="D15" s="76" t="inlineStr">
        <is>
          <t>简装毛胚</t>
        </is>
      </c>
      <c r="E15" s="165" t="n"/>
      <c r="F15" s="165" t="n"/>
      <c r="G15" s="76" t="n">
        <v>90</v>
      </c>
      <c r="H15" s="166">
        <f>E15/G15</f>
        <v/>
      </c>
      <c r="I15" s="167" t="n">
        <v>0.4</v>
      </c>
      <c r="J15" s="167" t="n">
        <v>0.3</v>
      </c>
      <c r="K15" s="76" t="n">
        <v>0.27</v>
      </c>
      <c r="L15" s="76" t="n">
        <v>20.5</v>
      </c>
      <c r="M15" s="175">
        <f>H15*I15*J15*K15</f>
        <v/>
      </c>
      <c r="N15" s="171" t="n"/>
      <c r="O15" s="167" t="n"/>
      <c r="P15" s="157">
        <f>H15*L15</f>
        <v/>
      </c>
      <c r="Q15" s="168" t="n">
        <v>0.652</v>
      </c>
      <c r="R15" s="132">
        <f>E15*Q15</f>
        <v/>
      </c>
      <c r="S15" s="168" t="n">
        <v>0.767</v>
      </c>
      <c r="T15" s="172" t="n">
        <v>3.06</v>
      </c>
      <c r="U15" s="157">
        <f>E15*T15</f>
        <v/>
      </c>
      <c r="V15" s="17" t="n"/>
      <c r="W15" s="169">
        <f>T15*1.17*1.18</f>
        <v/>
      </c>
      <c r="X15" s="157">
        <f>E15*W15</f>
        <v/>
      </c>
      <c r="AC15" s="15" t="n"/>
    </row>
    <row r="16" ht="15.65" customHeight="1">
      <c r="B16" s="104" t="inlineStr">
        <is>
          <t>2-1460.200.01</t>
        </is>
      </c>
      <c r="C16" s="125" t="inlineStr">
        <is>
          <t>000460200000102</t>
        </is>
      </c>
      <c r="D16" s="9" t="inlineStr">
        <is>
          <t>白色</t>
        </is>
      </c>
      <c r="E16" s="165" t="n"/>
      <c r="F16" s="165" t="n"/>
      <c r="G16" s="170" t="n">
        <v>72</v>
      </c>
      <c r="H16" s="166">
        <f>E16/G16</f>
        <v/>
      </c>
      <c r="I16" s="76" t="n">
        <v>0.8</v>
      </c>
      <c r="J16" s="76" t="n">
        <v>0.46</v>
      </c>
      <c r="K16" s="76" t="n">
        <v>0.23</v>
      </c>
      <c r="L16" s="76" t="n">
        <v>24</v>
      </c>
      <c r="M16" s="167">
        <f>H16*I16*J16*K16</f>
        <v/>
      </c>
      <c r="N16" s="171" t="n">
        <v>1152</v>
      </c>
      <c r="O16" s="167">
        <f>E16/N16</f>
        <v/>
      </c>
      <c r="P16" s="157">
        <f>H16*L16</f>
        <v/>
      </c>
      <c r="Q16" s="168" t="n">
        <v>0.8080000000000001</v>
      </c>
      <c r="R16" s="132">
        <f>E16*Q16</f>
        <v/>
      </c>
      <c r="S16" s="168" t="n">
        <v>0.95</v>
      </c>
      <c r="T16" s="176" t="n">
        <v>4.06</v>
      </c>
      <c r="U16" s="157">
        <f>E16*T16</f>
        <v/>
      </c>
      <c r="V16" s="17" t="n"/>
      <c r="W16" s="169">
        <f>T16*1.17*1.18</f>
        <v/>
      </c>
      <c r="X16" s="157">
        <f>E16*W16</f>
        <v/>
      </c>
      <c r="AC16" s="15" t="n">
        <v>8423224784709</v>
      </c>
    </row>
    <row r="17" ht="15.65" customHeight="1">
      <c r="A17" s="9" t="n"/>
      <c r="B17" s="159" t="inlineStr">
        <is>
          <t>2-1460.200.18</t>
        </is>
      </c>
      <c r="C17" s="125" t="inlineStr">
        <is>
          <t>000460200001802</t>
        </is>
      </c>
      <c r="D17" s="9" t="inlineStr">
        <is>
          <t>亚光黑</t>
        </is>
      </c>
      <c r="E17" s="165" t="n"/>
      <c r="F17" s="165" t="n"/>
      <c r="G17" s="170" t="n">
        <v>72</v>
      </c>
      <c r="H17" s="166">
        <f>E17/G17</f>
        <v/>
      </c>
      <c r="I17" s="76" t="n">
        <v>0.8</v>
      </c>
      <c r="J17" s="76" t="n">
        <v>0.46</v>
      </c>
      <c r="K17" s="76" t="n">
        <v>0.23</v>
      </c>
      <c r="L17" s="76" t="n">
        <v>24</v>
      </c>
      <c r="M17" s="167">
        <f>H17*I17*J17*K17</f>
        <v/>
      </c>
      <c r="N17" s="171" t="n">
        <v>1152</v>
      </c>
      <c r="O17" s="167">
        <f>E17/N17</f>
        <v/>
      </c>
      <c r="P17" s="157">
        <f>H17*L17</f>
        <v/>
      </c>
      <c r="Q17" s="168" t="n">
        <v>0.8080000000000001</v>
      </c>
      <c r="R17" s="132">
        <f>E17*Q17</f>
        <v/>
      </c>
      <c r="S17" s="168" t="n">
        <v>0.95</v>
      </c>
      <c r="T17" s="176" t="n">
        <v>4.06</v>
      </c>
      <c r="U17" s="157">
        <f>E17*T17</f>
        <v/>
      </c>
      <c r="V17" s="77" t="n"/>
      <c r="W17" s="169">
        <f>T17*1.17*1.18</f>
        <v/>
      </c>
      <c r="X17" s="157">
        <f>E17*W17</f>
        <v/>
      </c>
      <c r="AC17" s="15" t="n">
        <v>8423224784716</v>
      </c>
    </row>
    <row r="18" ht="15.65" customHeight="1">
      <c r="A18" s="9" t="n"/>
      <c r="B18" s="104" t="inlineStr">
        <is>
          <t>2-1460.200.38</t>
        </is>
      </c>
      <c r="C18" s="125" t="inlineStr">
        <is>
          <t>000460200003802</t>
        </is>
      </c>
      <c r="D18" s="9" t="inlineStr">
        <is>
          <t>银灰色</t>
        </is>
      </c>
      <c r="E18" s="165" t="n"/>
      <c r="F18" s="165" t="n"/>
      <c r="G18" s="170" t="n">
        <v>72</v>
      </c>
      <c r="H18" s="166">
        <f>E18/G18</f>
        <v/>
      </c>
      <c r="I18" s="76" t="n">
        <v>0.8</v>
      </c>
      <c r="J18" s="76" t="n">
        <v>0.46</v>
      </c>
      <c r="K18" s="76" t="n">
        <v>0.23</v>
      </c>
      <c r="L18" s="76" t="n">
        <v>24</v>
      </c>
      <c r="M18" s="167">
        <f>H18*I18*J18*K18</f>
        <v/>
      </c>
      <c r="N18" s="171" t="n">
        <v>1152</v>
      </c>
      <c r="O18" s="167">
        <f>E18/N18</f>
        <v/>
      </c>
      <c r="P18" s="157">
        <f>H18*L18</f>
        <v/>
      </c>
      <c r="Q18" s="168" t="n">
        <v>0.8080000000000001</v>
      </c>
      <c r="R18" s="132">
        <f>E18*Q18</f>
        <v/>
      </c>
      <c r="S18" s="168" t="n">
        <v>0.95</v>
      </c>
      <c r="T18" s="176" t="n">
        <v>4.06</v>
      </c>
      <c r="U18" s="157">
        <f>E18*T18</f>
        <v/>
      </c>
      <c r="V18" s="17" t="n"/>
      <c r="W18" s="169">
        <f>T18*1.17*1.18</f>
        <v/>
      </c>
      <c r="X18" s="157">
        <f>E18*W18</f>
        <v/>
      </c>
      <c r="AC18" s="15" t="n">
        <v>8423224784723</v>
      </c>
    </row>
    <row r="19" ht="15.65" customHeight="1">
      <c r="A19" s="9" t="n"/>
      <c r="B19" s="104" t="inlineStr">
        <is>
          <t>2-1460.200.04</t>
        </is>
      </c>
      <c r="C19" s="163" t="inlineStr">
        <is>
          <t>000460200000402</t>
        </is>
      </c>
      <c r="D19" s="9" t="inlineStr">
        <is>
          <t>红色</t>
        </is>
      </c>
      <c r="E19" s="165" t="n"/>
      <c r="F19" s="165" t="n"/>
      <c r="G19" s="170" t="n">
        <v>72</v>
      </c>
      <c r="H19" s="166">
        <f>E19/G19</f>
        <v/>
      </c>
      <c r="I19" s="76" t="n">
        <v>0.8</v>
      </c>
      <c r="J19" s="76" t="n">
        <v>0.46</v>
      </c>
      <c r="K19" s="76" t="n">
        <v>0.23</v>
      </c>
      <c r="L19" s="76" t="n">
        <v>24</v>
      </c>
      <c r="M19" s="167">
        <f>H19*I19*J19*K19</f>
        <v/>
      </c>
      <c r="N19" s="171" t="n">
        <v>1152</v>
      </c>
      <c r="O19" s="167">
        <f>E19/N19</f>
        <v/>
      </c>
      <c r="P19" s="157">
        <f>H19*L19</f>
        <v/>
      </c>
      <c r="Q19" s="168">
        <f>S19*0.85</f>
        <v/>
      </c>
      <c r="R19" s="132">
        <f>E19*Q19</f>
        <v/>
      </c>
      <c r="S19" s="168" t="n">
        <v>0.975</v>
      </c>
      <c r="T19" s="176" t="n">
        <v>4.14</v>
      </c>
      <c r="U19" s="157">
        <f>E19*T19</f>
        <v/>
      </c>
      <c r="V19" s="17" t="n"/>
      <c r="W19" s="169">
        <f>T19*1.17*1.18</f>
        <v/>
      </c>
      <c r="X19" s="157">
        <f>E19*W19</f>
        <v/>
      </c>
      <c r="AC19" s="15" t="n">
        <v>8423224807750</v>
      </c>
    </row>
    <row r="20" ht="15.65" customHeight="1">
      <c r="A20" s="9" t="n"/>
      <c r="B20" s="104" t="inlineStr">
        <is>
          <t>2-1460.200.56</t>
        </is>
      </c>
      <c r="C20" s="163" t="n"/>
      <c r="D20" s="9" t="inlineStr">
        <is>
          <t>苹果绿</t>
        </is>
      </c>
      <c r="E20" s="165" t="n"/>
      <c r="F20" s="165" t="n"/>
      <c r="G20" s="170" t="n">
        <v>72</v>
      </c>
      <c r="H20" s="166">
        <f>E20/G20</f>
        <v/>
      </c>
      <c r="I20" s="76" t="n">
        <v>0.8</v>
      </c>
      <c r="J20" s="76" t="n">
        <v>0.46</v>
      </c>
      <c r="K20" s="76" t="n">
        <v>0.23</v>
      </c>
      <c r="L20" s="76" t="n">
        <v>24</v>
      </c>
      <c r="M20" s="167">
        <f>H20*I20*J20*K20</f>
        <v/>
      </c>
      <c r="N20" s="171" t="n">
        <v>1152</v>
      </c>
      <c r="O20" s="167">
        <f>E20/N20</f>
        <v/>
      </c>
      <c r="P20" s="157">
        <f>H20*L20</f>
        <v/>
      </c>
      <c r="Q20" s="168" t="n">
        <v>0.829</v>
      </c>
      <c r="R20" s="132">
        <f>E20*Q20</f>
        <v/>
      </c>
      <c r="S20" s="168" t="n">
        <v>0.975</v>
      </c>
      <c r="T20" s="176" t="n">
        <v>4.14</v>
      </c>
      <c r="U20" s="157">
        <f>E20*T20</f>
        <v/>
      </c>
      <c r="V20" s="17" t="n"/>
      <c r="W20" s="169">
        <f>T20*1.17*1.18</f>
        <v/>
      </c>
      <c r="X20" s="157">
        <f>E20*W20</f>
        <v/>
      </c>
      <c r="AC20" s="15" t="n">
        <v>8423224807767</v>
      </c>
    </row>
    <row r="21" ht="15.65" customHeight="1">
      <c r="A21" s="9" t="n"/>
      <c r="B21" s="131" t="inlineStr">
        <is>
          <t>2-1460.200.35</t>
        </is>
      </c>
      <c r="C21" s="125" t="inlineStr">
        <is>
          <t>000460200001102</t>
        </is>
      </c>
      <c r="D21" s="9" t="inlineStr">
        <is>
          <t>棕色</t>
        </is>
      </c>
      <c r="E21" s="165" t="n"/>
      <c r="F21" s="165" t="n"/>
      <c r="G21" s="170" t="n">
        <v>72</v>
      </c>
      <c r="H21" s="166">
        <f>E21/G21</f>
        <v/>
      </c>
      <c r="I21" s="76" t="n">
        <v>0.8</v>
      </c>
      <c r="J21" s="76" t="n">
        <v>0.46</v>
      </c>
      <c r="K21" s="76" t="n">
        <v>0.23</v>
      </c>
      <c r="L21" s="76" t="n">
        <v>24</v>
      </c>
      <c r="M21" s="167">
        <f>H21*I21*J21*K21</f>
        <v/>
      </c>
      <c r="N21" s="171" t="n">
        <v>1152</v>
      </c>
      <c r="O21" s="167">
        <f>E21/N21</f>
        <v/>
      </c>
      <c r="P21" s="157">
        <f>H21*L21</f>
        <v/>
      </c>
      <c r="Q21" s="168" t="n">
        <v>1.079</v>
      </c>
      <c r="R21" s="132">
        <f>E21*Q21</f>
        <v/>
      </c>
      <c r="S21" s="168" t="n">
        <v>1.269</v>
      </c>
      <c r="T21" s="176" t="n">
        <v>4.55</v>
      </c>
      <c r="U21" s="157">
        <f>E21*T21</f>
        <v/>
      </c>
      <c r="V21" s="17" t="n"/>
      <c r="W21" s="169">
        <f>T21*1.17*1.18</f>
        <v/>
      </c>
      <c r="X21" s="157">
        <f>E21*W21</f>
        <v/>
      </c>
      <c r="AC21" s="15" t="n">
        <v>8423224839874</v>
      </c>
    </row>
    <row r="22" ht="15.65" customHeight="1">
      <c r="A22" s="9" t="n"/>
      <c r="B22" s="104" t="inlineStr">
        <is>
          <t>2-1460.200.59</t>
        </is>
      </c>
      <c r="C22" s="163" t="n"/>
      <c r="D22" s="9" t="inlineStr">
        <is>
          <t>海蓝</t>
        </is>
      </c>
      <c r="E22" s="165" t="n"/>
      <c r="F22" s="165" t="n"/>
      <c r="G22" s="170" t="n">
        <v>72</v>
      </c>
      <c r="H22" s="166">
        <f>E22/G22</f>
        <v/>
      </c>
      <c r="I22" s="76" t="n">
        <v>0.8</v>
      </c>
      <c r="J22" s="76" t="n">
        <v>0.46</v>
      </c>
      <c r="K22" s="76" t="n">
        <v>0.23</v>
      </c>
      <c r="L22" s="76" t="n">
        <v>24</v>
      </c>
      <c r="M22" s="167">
        <f>H22*I22*J22*K22</f>
        <v/>
      </c>
      <c r="N22" s="171" t="n">
        <v>1152</v>
      </c>
      <c r="O22" s="167">
        <f>E22/N22</f>
        <v/>
      </c>
      <c r="P22" s="157">
        <f>H22*L22</f>
        <v/>
      </c>
      <c r="Q22" s="168" t="n"/>
      <c r="R22" s="132">
        <f>E22*Q22</f>
        <v/>
      </c>
      <c r="S22" s="168" t="n">
        <v>1.335</v>
      </c>
      <c r="T22" s="176" t="n">
        <v>5.38</v>
      </c>
      <c r="U22" s="157">
        <f>E22*T22</f>
        <v/>
      </c>
      <c r="V22" s="77" t="n"/>
      <c r="W22" s="169">
        <f>T22*1.17*1.18</f>
        <v/>
      </c>
      <c r="X22" s="157">
        <f>E22*W22</f>
        <v/>
      </c>
      <c r="AC22" s="15" t="n">
        <v>8423224807774</v>
      </c>
    </row>
    <row r="23" ht="15.65" customHeight="1">
      <c r="A23" s="9" t="n"/>
      <c r="B23" s="104" t="inlineStr">
        <is>
          <t>2-1460.200.21</t>
        </is>
      </c>
      <c r="C23" s="125" t="inlineStr">
        <is>
          <t>000460200002102</t>
        </is>
      </c>
      <c r="D23" s="9" t="inlineStr">
        <is>
          <t>镀铬</t>
        </is>
      </c>
      <c r="E23" s="165" t="n"/>
      <c r="F23" s="165" t="n"/>
      <c r="G23" s="170" t="n">
        <v>72</v>
      </c>
      <c r="H23" s="166">
        <f>E23/G23</f>
        <v/>
      </c>
      <c r="I23" s="76" t="n">
        <v>0.8</v>
      </c>
      <c r="J23" s="76" t="n">
        <v>0.46</v>
      </c>
      <c r="K23" s="76" t="n">
        <v>0.23</v>
      </c>
      <c r="L23" s="76" t="n">
        <v>24</v>
      </c>
      <c r="M23" s="167">
        <f>H23*I23*J23*K23</f>
        <v/>
      </c>
      <c r="N23" s="171" t="n">
        <v>1152</v>
      </c>
      <c r="O23" s="167">
        <f>E23/N23</f>
        <v/>
      </c>
      <c r="P23" s="157">
        <f>H23*L23</f>
        <v/>
      </c>
      <c r="Q23" s="168" t="n">
        <v>1.153</v>
      </c>
      <c r="R23" s="132">
        <f>E23*Q23</f>
        <v/>
      </c>
      <c r="S23" s="168" t="n">
        <v>1.357</v>
      </c>
      <c r="T23" s="174" t="n">
        <v>5.256</v>
      </c>
      <c r="U23" s="157">
        <f>E23*T23</f>
        <v/>
      </c>
      <c r="V23" s="17" t="n"/>
      <c r="W23" s="169">
        <f>T23*1.17*1.18</f>
        <v/>
      </c>
      <c r="X23" s="157">
        <f>E23*W23</f>
        <v/>
      </c>
      <c r="AC23" s="15" t="n">
        <v>8423224839867</v>
      </c>
    </row>
    <row r="24" ht="15.65" customHeight="1">
      <c r="A24" s="9" t="n"/>
      <c r="B24" s="104" t="n"/>
      <c r="C24" s="163" t="n"/>
      <c r="D24" s="9" t="n"/>
      <c r="E24" s="165" t="n"/>
      <c r="F24" s="165" t="n"/>
      <c r="G24" s="170" t="n"/>
      <c r="H24" s="166" t="n"/>
      <c r="M24" s="167" t="n"/>
      <c r="N24" s="171" t="n"/>
      <c r="O24" s="167" t="n"/>
      <c r="P24" s="157" t="n"/>
      <c r="Q24" s="168" t="n"/>
      <c r="R24" s="132" t="n"/>
      <c r="S24" s="168" t="n"/>
      <c r="T24" s="172" t="n"/>
      <c r="U24" s="157" t="n"/>
      <c r="V24" s="77" t="n"/>
      <c r="W24" s="169" t="n"/>
      <c r="X24" s="157">
        <f>E24*W24</f>
        <v/>
      </c>
      <c r="AC24" s="15" t="n"/>
    </row>
    <row r="25" ht="15.65" customHeight="1">
      <c r="A25" s="9" t="inlineStr">
        <is>
          <t>外圆弧-250</t>
        </is>
      </c>
      <c r="B25" s="104" t="inlineStr">
        <is>
          <t>2-1460.250.R</t>
        </is>
      </c>
      <c r="C25" s="125" t="inlineStr">
        <is>
          <t>000460250000000</t>
        </is>
      </c>
      <c r="D25" s="76" t="inlineStr">
        <is>
          <t>简装毛胚</t>
        </is>
      </c>
      <c r="E25" s="165" t="n"/>
      <c r="F25" s="165" t="n"/>
      <c r="G25" s="76" t="n">
        <v>48</v>
      </c>
      <c r="H25" s="166">
        <f>E25/G25</f>
        <v/>
      </c>
      <c r="I25" s="167" t="n">
        <v>0.4</v>
      </c>
      <c r="J25" s="167" t="n">
        <v>0.3</v>
      </c>
      <c r="K25" s="76" t="n">
        <v>0.27</v>
      </c>
      <c r="L25" s="76" t="n">
        <v>15.5</v>
      </c>
      <c r="M25" s="167">
        <f>H25*I25*J25*K25</f>
        <v/>
      </c>
      <c r="N25" s="171" t="n"/>
      <c r="O25" s="167" t="n"/>
      <c r="P25" s="157">
        <f>H25*L25</f>
        <v/>
      </c>
      <c r="Q25" s="168">
        <f>S25*0.85</f>
        <v/>
      </c>
      <c r="R25" s="132">
        <f>E25*Q25</f>
        <v/>
      </c>
      <c r="S25" s="168" t="n">
        <v>0.962</v>
      </c>
      <c r="T25" s="172" t="n">
        <v>3.9</v>
      </c>
      <c r="U25" s="157">
        <f>E25*T25</f>
        <v/>
      </c>
      <c r="V25" s="77" t="n"/>
      <c r="W25" s="169">
        <f>T25*1.17*1.18</f>
        <v/>
      </c>
      <c r="X25" s="157">
        <f>E25*W25</f>
        <v/>
      </c>
      <c r="AC25" s="15" t="n"/>
    </row>
    <row r="26" ht="15.65" customHeight="1">
      <c r="B26" s="104" t="inlineStr">
        <is>
          <t>2-1460.250.01</t>
        </is>
      </c>
      <c r="C26" s="125" t="inlineStr">
        <is>
          <t>000460250000102</t>
        </is>
      </c>
      <c r="D26" s="9" t="inlineStr">
        <is>
          <t>白色</t>
        </is>
      </c>
      <c r="E26" s="165" t="n"/>
      <c r="F26" s="165" t="n"/>
      <c r="G26" s="170" t="n">
        <v>54</v>
      </c>
      <c r="H26" s="166">
        <f>E26/G26</f>
        <v/>
      </c>
      <c r="I26" s="76" t="n">
        <v>0.8</v>
      </c>
      <c r="J26" s="76" t="n">
        <v>0.46</v>
      </c>
      <c r="K26" s="76" t="n">
        <v>0.23</v>
      </c>
      <c r="L26" s="76" t="n">
        <v>24</v>
      </c>
      <c r="M26" s="167">
        <f>H26*I26*J26*K26</f>
        <v/>
      </c>
      <c r="N26" s="171" t="n">
        <v>1152</v>
      </c>
      <c r="O26" s="167">
        <f>E26/N26</f>
        <v/>
      </c>
      <c r="P26" s="157">
        <f>H26*L26</f>
        <v/>
      </c>
      <c r="Q26" s="168">
        <f>S26*0.85</f>
        <v/>
      </c>
      <c r="R26" s="132">
        <f>E26*Q26</f>
        <v/>
      </c>
      <c r="S26" s="168" t="n">
        <v>1.283</v>
      </c>
      <c r="T26" s="172" t="n">
        <v>5.26</v>
      </c>
      <c r="U26" s="157">
        <f>E26*T26</f>
        <v/>
      </c>
      <c r="V26" s="17" t="n"/>
      <c r="W26" s="169">
        <f>T26*1.17*1.18</f>
        <v/>
      </c>
      <c r="X26" s="157">
        <f>E26*W26</f>
        <v/>
      </c>
      <c r="AC26" s="15" t="n">
        <v>8423224821244</v>
      </c>
    </row>
    <row r="27" ht="15.65" customHeight="1">
      <c r="A27" s="9" t="n"/>
      <c r="B27" s="104" t="inlineStr">
        <is>
          <t>2-1460.250.03</t>
        </is>
      </c>
      <c r="C27" s="125" t="inlineStr">
        <is>
          <t>000460250000302</t>
        </is>
      </c>
      <c r="D27" s="9" t="inlineStr">
        <is>
          <t>黑色</t>
        </is>
      </c>
      <c r="E27" s="165" t="n"/>
      <c r="F27" s="165" t="n"/>
      <c r="G27" s="170" t="n">
        <v>54</v>
      </c>
      <c r="H27" s="166">
        <f>E27/G27</f>
        <v/>
      </c>
      <c r="I27" s="76" t="n">
        <v>0.8</v>
      </c>
      <c r="J27" s="76" t="n">
        <v>0.46</v>
      </c>
      <c r="K27" s="76" t="n">
        <v>0.23</v>
      </c>
      <c r="L27" s="76" t="n">
        <v>24</v>
      </c>
      <c r="M27" s="167">
        <f>H27*I27*J27*K27</f>
        <v/>
      </c>
      <c r="N27" s="171" t="n">
        <v>1152</v>
      </c>
      <c r="O27" s="167">
        <f>E27/N27</f>
        <v/>
      </c>
      <c r="P27" s="157">
        <f>H27*L27</f>
        <v/>
      </c>
      <c r="Q27" s="168">
        <f>S27*0.85</f>
        <v/>
      </c>
      <c r="R27" s="132">
        <f>E27*Q27</f>
        <v/>
      </c>
      <c r="S27" s="168" t="n">
        <v>1.283</v>
      </c>
      <c r="T27" s="172" t="n">
        <v>5.26</v>
      </c>
      <c r="U27" s="157">
        <f>E27*T27</f>
        <v/>
      </c>
      <c r="V27" s="17" t="n"/>
      <c r="W27" s="169">
        <f>T27*1.17*1.18</f>
        <v/>
      </c>
      <c r="X27" s="157">
        <f>E27*W27</f>
        <v/>
      </c>
      <c r="AC27" s="15" t="n"/>
    </row>
    <row r="28" ht="15.65" customHeight="1">
      <c r="A28" s="9" t="n"/>
      <c r="B28" s="104" t="inlineStr">
        <is>
          <t>2-1460.250.38</t>
        </is>
      </c>
      <c r="C28" s="125" t="inlineStr">
        <is>
          <t>000460250003802</t>
        </is>
      </c>
      <c r="D28" s="9" t="inlineStr">
        <is>
          <t>银灰色</t>
        </is>
      </c>
      <c r="E28" s="165" t="n"/>
      <c r="F28" s="165" t="n"/>
      <c r="G28" s="170" t="n">
        <v>54</v>
      </c>
      <c r="H28" s="166">
        <f>E28/G28</f>
        <v/>
      </c>
      <c r="I28" s="76" t="n">
        <v>0.8</v>
      </c>
      <c r="J28" s="76" t="n">
        <v>0.46</v>
      </c>
      <c r="K28" s="76" t="n">
        <v>0.23</v>
      </c>
      <c r="L28" s="76" t="n">
        <v>24</v>
      </c>
      <c r="M28" s="167">
        <f>H28*I28*J28*K28</f>
        <v/>
      </c>
      <c r="N28" s="171" t="n">
        <v>1152</v>
      </c>
      <c r="O28" s="167">
        <f>E28/N28</f>
        <v/>
      </c>
      <c r="P28" s="157">
        <f>H28*L28</f>
        <v/>
      </c>
      <c r="Q28" s="168">
        <f>S28*0.85</f>
        <v/>
      </c>
      <c r="R28" s="132">
        <f>E28*Q28</f>
        <v/>
      </c>
      <c r="S28" s="168" t="n">
        <v>1.283</v>
      </c>
      <c r="T28" s="172" t="n">
        <v>5.26</v>
      </c>
      <c r="U28" s="157">
        <f>E28*T28</f>
        <v/>
      </c>
      <c r="V28" s="17" t="n"/>
      <c r="W28" s="169">
        <f>T28*1.17*1.18</f>
        <v/>
      </c>
      <c r="X28" s="157">
        <f>E28*W28</f>
        <v/>
      </c>
      <c r="AC28" s="15" t="n"/>
    </row>
    <row r="29" ht="15.65" customHeight="1">
      <c r="A29" s="9" t="n"/>
      <c r="B29" s="104" t="inlineStr">
        <is>
          <t>2-1460.250.21</t>
        </is>
      </c>
      <c r="C29" s="125" t="inlineStr">
        <is>
          <t>000460250002102</t>
        </is>
      </c>
      <c r="D29" s="9" t="inlineStr">
        <is>
          <t>镀铬</t>
        </is>
      </c>
      <c r="E29" s="165" t="n"/>
      <c r="F29" s="165" t="n"/>
      <c r="G29" s="170" t="n">
        <v>54</v>
      </c>
      <c r="H29" s="166">
        <f>E29/G29</f>
        <v/>
      </c>
      <c r="I29" s="76" t="n">
        <v>0.8</v>
      </c>
      <c r="J29" s="76" t="n">
        <v>0.46</v>
      </c>
      <c r="K29" s="76" t="n">
        <v>0.23</v>
      </c>
      <c r="L29" s="76" t="n">
        <v>24</v>
      </c>
      <c r="M29" s="167">
        <f>H29*I29*J29*K29</f>
        <v/>
      </c>
      <c r="N29" s="171" t="n">
        <v>1152</v>
      </c>
      <c r="O29" s="167">
        <f>E29/N29</f>
        <v/>
      </c>
      <c r="P29" s="157">
        <f>H29*L29</f>
        <v/>
      </c>
      <c r="Q29" s="168" t="n">
        <v>1.498</v>
      </c>
      <c r="R29" s="132">
        <f>E29*Q29</f>
        <v/>
      </c>
      <c r="S29" s="168" t="n">
        <v>1.762</v>
      </c>
      <c r="T29" s="177" t="n">
        <v>6.795</v>
      </c>
      <c r="U29" s="157">
        <f>E29*T29</f>
        <v/>
      </c>
      <c r="V29" s="17" t="n"/>
      <c r="W29" s="169">
        <f>T29*1.17*1.18</f>
        <v/>
      </c>
      <c r="X29" s="157">
        <f>E29*W29</f>
        <v/>
      </c>
      <c r="AC29" s="15" t="n">
        <v>8423224839881</v>
      </c>
    </row>
    <row r="30" ht="15.65" customHeight="1">
      <c r="A30" s="9" t="n"/>
      <c r="B30" s="104" t="n"/>
      <c r="C30" s="163" t="n"/>
      <c r="D30" s="9" t="n"/>
      <c r="E30" s="165" t="n"/>
      <c r="F30" s="165" t="n"/>
      <c r="G30" s="170" t="n"/>
      <c r="H30" s="166" t="n"/>
      <c r="M30" s="167" t="n"/>
      <c r="N30" s="171" t="n"/>
      <c r="O30" s="167" t="n"/>
      <c r="P30" s="157" t="n"/>
      <c r="Q30" s="168" t="n"/>
      <c r="R30" s="132" t="n"/>
      <c r="S30" s="168" t="n"/>
      <c r="T30" s="172" t="n"/>
      <c r="U30" s="157" t="n"/>
      <c r="V30" s="77" t="n"/>
      <c r="W30" s="169" t="n"/>
      <c r="X30" s="157">
        <f>E30*W30</f>
        <v/>
      </c>
      <c r="AC30" s="15" t="n"/>
    </row>
    <row r="31" ht="15.65" customHeight="1">
      <c r="A31" s="9" t="inlineStr">
        <is>
          <t>单内弧-150</t>
        </is>
      </c>
      <c r="B31" s="104" t="inlineStr">
        <is>
          <t>2-1461.150.R</t>
        </is>
      </c>
      <c r="C31" s="163" t="n"/>
      <c r="D31" s="76" t="inlineStr">
        <is>
          <t>简装毛胚</t>
        </is>
      </c>
      <c r="E31" s="165" t="n"/>
      <c r="F31" s="165" t="n"/>
      <c r="G31" s="76" t="n">
        <v>108</v>
      </c>
      <c r="H31" s="166">
        <f>E31/G31</f>
        <v/>
      </c>
      <c r="I31" s="167" t="n">
        <v>0.4</v>
      </c>
      <c r="J31" s="167" t="n">
        <v>0.3</v>
      </c>
      <c r="K31" s="76" t="n">
        <v>0.21</v>
      </c>
      <c r="L31" s="76" t="n">
        <v>19.5</v>
      </c>
      <c r="M31" s="167">
        <f>H31*I31*J31*K31</f>
        <v/>
      </c>
      <c r="N31" s="171" t="n"/>
      <c r="O31" s="167" t="n"/>
      <c r="P31" s="157">
        <f>H31*L31</f>
        <v/>
      </c>
      <c r="Q31" s="168">
        <f>S31*0.85</f>
        <v/>
      </c>
      <c r="R31" s="132">
        <f>E31*Q31</f>
        <v/>
      </c>
      <c r="S31" s="168" t="n">
        <v>0.53</v>
      </c>
      <c r="T31" s="172" t="n">
        <v>2.3</v>
      </c>
      <c r="U31" s="157">
        <f>E31*T31</f>
        <v/>
      </c>
      <c r="V31" s="77" t="n"/>
      <c r="W31" s="169">
        <f>T31*1.17*1.18</f>
        <v/>
      </c>
      <c r="X31" s="157">
        <f>E31*W31</f>
        <v/>
      </c>
      <c r="AC31" s="15" t="n"/>
    </row>
    <row r="32" ht="15.65" customHeight="1">
      <c r="B32" s="159" t="inlineStr">
        <is>
          <t>2-1461.150.01</t>
        </is>
      </c>
      <c r="C32" s="125" t="inlineStr">
        <is>
          <t>000461150000102</t>
        </is>
      </c>
      <c r="D32" s="9" t="inlineStr">
        <is>
          <t>白色</t>
        </is>
      </c>
      <c r="E32" s="165" t="n"/>
      <c r="F32" s="165" t="n"/>
      <c r="G32" s="76" t="n">
        <v>108</v>
      </c>
      <c r="H32" s="166">
        <f>E32/G32</f>
        <v/>
      </c>
      <c r="I32" s="76" t="n">
        <v>0.77</v>
      </c>
      <c r="J32" s="76" t="n">
        <v>0.37</v>
      </c>
      <c r="K32" s="76" t="n">
        <v>0.23</v>
      </c>
      <c r="L32" s="76" t="n">
        <v>22.5</v>
      </c>
      <c r="M32" s="167">
        <f>H32*I32*J32*K32</f>
        <v/>
      </c>
      <c r="N32" s="171" t="n">
        <v>1296</v>
      </c>
      <c r="O32" s="167">
        <f>E32/N32</f>
        <v/>
      </c>
      <c r="P32" s="157">
        <f>H32*L32</f>
        <v/>
      </c>
      <c r="Q32" s="168" t="n">
        <v>0.5669999999999999</v>
      </c>
      <c r="R32" s="132">
        <f>E32*Q32</f>
        <v/>
      </c>
      <c r="S32" s="168" t="n">
        <v>0.667</v>
      </c>
      <c r="T32" s="19" t="n">
        <v>2.92</v>
      </c>
      <c r="U32" s="157">
        <f>E32*T32</f>
        <v/>
      </c>
      <c r="V32" s="77" t="n"/>
      <c r="W32" s="169">
        <f>T32*1.17*1.18</f>
        <v/>
      </c>
      <c r="X32" s="157">
        <f>E32*W32</f>
        <v/>
      </c>
      <c r="Y32" s="175">
        <f>E32*X32</f>
        <v/>
      </c>
      <c r="Z32" s="178" t="n">
        <v>0.98</v>
      </c>
      <c r="AA32" s="178">
        <f>E32*Z32</f>
        <v/>
      </c>
      <c r="AC32" s="15" t="n">
        <v>8423224784587</v>
      </c>
    </row>
    <row r="33" ht="15.65" customHeight="1">
      <c r="A33" s="9" t="n"/>
      <c r="B33" s="104" t="inlineStr">
        <is>
          <t>2-1461.150.18</t>
        </is>
      </c>
      <c r="C33" s="125" t="inlineStr">
        <is>
          <t>000461150001802</t>
        </is>
      </c>
      <c r="D33" s="9" t="inlineStr">
        <is>
          <t>亚光黑</t>
        </is>
      </c>
      <c r="E33" s="165" t="n"/>
      <c r="F33" s="165" t="n"/>
      <c r="G33" s="76" t="n">
        <v>108</v>
      </c>
      <c r="H33" s="166">
        <f>E33/G33</f>
        <v/>
      </c>
      <c r="I33" s="76" t="n">
        <v>0.77</v>
      </c>
      <c r="J33" s="76" t="n">
        <v>0.37</v>
      </c>
      <c r="K33" s="76" t="n">
        <v>0.23</v>
      </c>
      <c r="L33" s="76" t="n">
        <v>22.5</v>
      </c>
      <c r="M33" s="167">
        <f>H33*I33*J33*K33</f>
        <v/>
      </c>
      <c r="N33" s="171" t="n">
        <v>1296</v>
      </c>
      <c r="O33" s="167">
        <f>E33/N33</f>
        <v/>
      </c>
      <c r="P33" s="157">
        <f>H33*L33</f>
        <v/>
      </c>
      <c r="Q33" s="168" t="n">
        <v>0.5669999999999999</v>
      </c>
      <c r="R33" s="132">
        <f>E33*Q33</f>
        <v/>
      </c>
      <c r="S33" s="168" t="n">
        <v>0.667</v>
      </c>
      <c r="T33" s="19" t="n">
        <v>2.92</v>
      </c>
      <c r="U33" s="157">
        <f>E33*T33</f>
        <v/>
      </c>
      <c r="V33" s="77" t="n"/>
      <c r="W33" s="169">
        <f>T33*1.17*1.18</f>
        <v/>
      </c>
      <c r="X33" s="157">
        <f>E33*W33</f>
        <v/>
      </c>
      <c r="AC33" s="15" t="n">
        <v>8423224784594</v>
      </c>
    </row>
    <row r="34" ht="15.65" customHeight="1">
      <c r="A34" s="9" t="n"/>
      <c r="B34" s="159" t="inlineStr">
        <is>
          <t>2-1461.150.38</t>
        </is>
      </c>
      <c r="C34" s="125" t="inlineStr">
        <is>
          <t>000461150003802</t>
        </is>
      </c>
      <c r="D34" s="9" t="inlineStr">
        <is>
          <t>银灰色</t>
        </is>
      </c>
      <c r="E34" s="165" t="n"/>
      <c r="F34" s="165" t="n"/>
      <c r="G34" s="76" t="n">
        <v>108</v>
      </c>
      <c r="H34" s="166">
        <f>E34/G34</f>
        <v/>
      </c>
      <c r="I34" s="76" t="n">
        <v>0.77</v>
      </c>
      <c r="J34" s="76" t="n">
        <v>0.37</v>
      </c>
      <c r="K34" s="76" t="n">
        <v>0.23</v>
      </c>
      <c r="L34" s="76" t="n">
        <v>22.5</v>
      </c>
      <c r="M34" s="167">
        <f>H34*I34*J34*K34</f>
        <v/>
      </c>
      <c r="N34" s="171" t="n">
        <v>1296</v>
      </c>
      <c r="O34" s="167">
        <f>E34/N34</f>
        <v/>
      </c>
      <c r="P34" s="157">
        <f>H34*L34</f>
        <v/>
      </c>
      <c r="Q34" s="168" t="n">
        <v>0.5669999999999999</v>
      </c>
      <c r="R34" s="132">
        <f>E34*Q34</f>
        <v/>
      </c>
      <c r="S34" s="168" t="n">
        <v>0.667</v>
      </c>
      <c r="T34" s="19" t="n">
        <v>2.92</v>
      </c>
      <c r="U34" s="157">
        <f>E34*T34</f>
        <v/>
      </c>
      <c r="V34" s="77" t="n"/>
      <c r="W34" s="169">
        <f>T34*1.17*1.18</f>
        <v/>
      </c>
      <c r="X34" s="157">
        <f>E34*W34</f>
        <v/>
      </c>
      <c r="AC34" s="15" t="n">
        <v>8423224784600</v>
      </c>
    </row>
    <row r="35" ht="15.65" customHeight="1">
      <c r="A35" s="9" t="n"/>
      <c r="B35" s="104" t="n"/>
      <c r="C35" s="163" t="n"/>
      <c r="D35" s="9" t="n"/>
      <c r="E35" s="165" t="n"/>
      <c r="F35" s="165" t="n"/>
      <c r="H35" s="166" t="n"/>
      <c r="N35" s="171" t="n"/>
      <c r="P35" s="157" t="n"/>
      <c r="Q35" s="168" t="n"/>
      <c r="R35" s="132" t="n"/>
      <c r="S35" s="168" t="n"/>
      <c r="T35" s="19" t="n"/>
      <c r="U35" s="157" t="n"/>
      <c r="V35" s="77" t="n"/>
      <c r="W35" s="169" t="n"/>
      <c r="X35" s="157">
        <f>E35*W35</f>
        <v/>
      </c>
      <c r="AC35" s="15" t="n"/>
    </row>
    <row r="36" ht="15.65" customHeight="1">
      <c r="A36" s="76" t="inlineStr">
        <is>
          <t>单内弧-200</t>
        </is>
      </c>
      <c r="B36" s="104" t="inlineStr">
        <is>
          <t>2-1461.200.R</t>
        </is>
      </c>
      <c r="C36" s="163" t="n"/>
      <c r="D36" s="76" t="inlineStr">
        <is>
          <t>简装毛胚</t>
        </is>
      </c>
      <c r="E36" s="165" t="n"/>
      <c r="F36" s="165" t="n"/>
      <c r="G36" s="76" t="n">
        <v>100</v>
      </c>
      <c r="H36" s="166">
        <f>E36/G36</f>
        <v/>
      </c>
      <c r="I36" s="167" t="n">
        <v>0.4</v>
      </c>
      <c r="J36" s="167" t="n">
        <v>0.3</v>
      </c>
      <c r="K36" s="76" t="n">
        <v>0.27</v>
      </c>
      <c r="L36" s="179" t="n">
        <v>23</v>
      </c>
      <c r="M36" s="167">
        <f>H36*I36*J36*K36</f>
        <v/>
      </c>
      <c r="N36" s="171" t="n"/>
      <c r="P36" s="157">
        <f>H36*L36</f>
        <v/>
      </c>
      <c r="Q36" s="168">
        <f>S36*0.85</f>
        <v/>
      </c>
      <c r="R36" s="132">
        <f>E36*Q36</f>
        <v/>
      </c>
      <c r="S36" s="168" t="n">
        <v>0.781</v>
      </c>
      <c r="T36" s="178" t="n">
        <v>3.2</v>
      </c>
      <c r="U36" s="157">
        <f>E36*T36</f>
        <v/>
      </c>
      <c r="V36" s="77" t="n"/>
      <c r="W36" s="169">
        <f>T36*1.17*1.18</f>
        <v/>
      </c>
      <c r="X36" s="157">
        <f>E36*W36</f>
        <v/>
      </c>
      <c r="AC36" s="15" t="n"/>
    </row>
    <row r="37" ht="15.65" customHeight="1">
      <c r="B37" s="159" t="inlineStr">
        <is>
          <t>2-1461.200.01</t>
        </is>
      </c>
      <c r="C37" s="125" t="inlineStr">
        <is>
          <t>000461200000102</t>
        </is>
      </c>
      <c r="D37" s="9" t="inlineStr">
        <is>
          <t>白色</t>
        </is>
      </c>
      <c r="E37" s="165" t="n"/>
      <c r="F37" s="165" t="n"/>
      <c r="G37" s="76" t="n">
        <v>72</v>
      </c>
      <c r="H37" s="166">
        <f>E37/G37</f>
        <v/>
      </c>
      <c r="I37" s="76" t="n">
        <v>0.6</v>
      </c>
      <c r="J37" s="76" t="n">
        <v>0.46</v>
      </c>
      <c r="K37" s="76" t="n">
        <v>0.23</v>
      </c>
      <c r="L37" s="76" t="n">
        <v>20.5</v>
      </c>
      <c r="M37" s="167">
        <f>H37*I37*J37*K37</f>
        <v/>
      </c>
      <c r="N37" s="171" t="n">
        <v>1152</v>
      </c>
      <c r="O37" s="167">
        <f>E37/N37</f>
        <v/>
      </c>
      <c r="P37" s="157">
        <f>H37*L37</f>
        <v/>
      </c>
      <c r="Q37" s="168" t="n">
        <v>0.8179999999999999</v>
      </c>
      <c r="R37" s="158">
        <f>E37*Q37</f>
        <v/>
      </c>
      <c r="S37" s="168" t="n">
        <v>0.962</v>
      </c>
      <c r="T37" s="178" t="n">
        <v>4.1</v>
      </c>
      <c r="U37" s="157">
        <f>E37*T37</f>
        <v/>
      </c>
      <c r="W37" s="169">
        <f>T37*1.17*1.18</f>
        <v/>
      </c>
      <c r="X37" s="157">
        <f>E37*W37</f>
        <v/>
      </c>
      <c r="AC37" s="15" t="n">
        <v>8423224784730</v>
      </c>
    </row>
    <row r="38" ht="15.65" customHeight="1">
      <c r="B38" s="159" t="inlineStr">
        <is>
          <t>2-1461.200.18</t>
        </is>
      </c>
      <c r="C38" s="125" t="inlineStr">
        <is>
          <t>000461200001802</t>
        </is>
      </c>
      <c r="D38" s="124" t="inlineStr">
        <is>
          <t>亚光黑</t>
        </is>
      </c>
      <c r="E38" s="165" t="n"/>
      <c r="F38" s="165" t="n"/>
      <c r="G38" s="76" t="n">
        <v>72</v>
      </c>
      <c r="H38" s="166">
        <f>E38/G38</f>
        <v/>
      </c>
      <c r="I38" s="76" t="n">
        <v>0.6</v>
      </c>
      <c r="J38" s="76" t="n">
        <v>0.46</v>
      </c>
      <c r="K38" s="76" t="n">
        <v>0.23</v>
      </c>
      <c r="L38" s="76" t="n">
        <v>20.5</v>
      </c>
      <c r="M38" s="167">
        <f>H38*I38*J38*K38</f>
        <v/>
      </c>
      <c r="N38" s="171" t="n">
        <v>1152</v>
      </c>
      <c r="O38" s="167">
        <f>E38/N38</f>
        <v/>
      </c>
      <c r="P38" s="157">
        <f>H38*L38</f>
        <v/>
      </c>
      <c r="Q38" s="168" t="n">
        <v>0.8179999999999999</v>
      </c>
      <c r="R38" s="132">
        <f>E38*Q38</f>
        <v/>
      </c>
      <c r="S38" s="168" t="n">
        <v>0.962</v>
      </c>
      <c r="T38" s="178" t="n">
        <v>4.1</v>
      </c>
      <c r="U38" s="157">
        <f>E38*T38</f>
        <v/>
      </c>
      <c r="W38" s="169">
        <f>T38*1.17*1.18</f>
        <v/>
      </c>
      <c r="X38" s="157">
        <f>E38*W38</f>
        <v/>
      </c>
      <c r="AC38" s="15" t="n">
        <v>8423224784747</v>
      </c>
    </row>
    <row r="39" ht="15.65" customHeight="1">
      <c r="B39" s="159" t="inlineStr">
        <is>
          <t>2-1461.200.38</t>
        </is>
      </c>
      <c r="C39" s="125" t="inlineStr">
        <is>
          <t>000461200003802</t>
        </is>
      </c>
      <c r="D39" s="9" t="inlineStr">
        <is>
          <t>银灰色</t>
        </is>
      </c>
      <c r="E39" s="165" t="n"/>
      <c r="F39" s="165" t="n"/>
      <c r="G39" s="76" t="n">
        <v>72</v>
      </c>
      <c r="H39" s="157">
        <f>E39/G39</f>
        <v/>
      </c>
      <c r="I39" s="76" t="n">
        <v>0.6</v>
      </c>
      <c r="J39" s="76" t="n">
        <v>0.46</v>
      </c>
      <c r="K39" s="76" t="n">
        <v>0.23</v>
      </c>
      <c r="L39" s="76" t="n">
        <v>20.5</v>
      </c>
      <c r="M39" s="167">
        <f>H39*I39*J39*K39</f>
        <v/>
      </c>
      <c r="N39" s="171" t="n">
        <v>1152</v>
      </c>
      <c r="O39" s="167">
        <f>E39/N39</f>
        <v/>
      </c>
      <c r="P39" s="157">
        <f>H39*L39</f>
        <v/>
      </c>
      <c r="Q39" s="168" t="n">
        <v>0.8179999999999999</v>
      </c>
      <c r="R39" s="132">
        <f>E39*Q39</f>
        <v/>
      </c>
      <c r="S39" s="168" t="n">
        <v>0.962</v>
      </c>
      <c r="T39" s="178" t="n">
        <v>4.1</v>
      </c>
      <c r="U39" s="157">
        <f>E39*T39</f>
        <v/>
      </c>
      <c r="V39" s="77" t="n"/>
      <c r="W39" s="169">
        <f>T39*1.17*1.18</f>
        <v/>
      </c>
      <c r="X39" s="157">
        <f>E39*W39</f>
        <v/>
      </c>
      <c r="AC39" s="15" t="n">
        <v>8423224784754</v>
      </c>
    </row>
    <row r="40" ht="15.65" customHeight="1">
      <c r="A40" s="107" t="inlineStr">
        <is>
          <t>BURDEOS</t>
        </is>
      </c>
      <c r="B40" s="104" t="inlineStr">
        <is>
          <t>2-1461.200.23</t>
        </is>
      </c>
      <c r="C40" s="163" t="n"/>
      <c r="D40" s="9" t="inlineStr">
        <is>
          <t>朱红  2</t>
        </is>
      </c>
      <c r="E40" s="165" t="n"/>
      <c r="F40" s="165" t="n"/>
      <c r="G40" s="76" t="n">
        <v>72</v>
      </c>
      <c r="H40" s="166">
        <f>E40/G40</f>
        <v/>
      </c>
      <c r="I40" s="76" t="n">
        <v>0.6</v>
      </c>
      <c r="J40" s="76" t="n">
        <v>0.46</v>
      </c>
      <c r="K40" s="76" t="n">
        <v>0.23</v>
      </c>
      <c r="L40" s="76" t="n">
        <v>20.5</v>
      </c>
      <c r="M40" s="167">
        <f>H40*I40*J40*K40</f>
        <v/>
      </c>
      <c r="N40" s="171" t="n">
        <v>1152</v>
      </c>
      <c r="O40" s="167">
        <f>E40/N40</f>
        <v/>
      </c>
      <c r="P40" s="157">
        <f>H40*L40</f>
        <v/>
      </c>
      <c r="Q40" s="168" t="n"/>
      <c r="R40" s="132">
        <f>E40*Q40</f>
        <v/>
      </c>
      <c r="S40" s="168" t="n">
        <v>0.988</v>
      </c>
      <c r="T40" s="178" t="n">
        <v>4.1</v>
      </c>
      <c r="U40" s="157">
        <f>E40*T40</f>
        <v/>
      </c>
      <c r="V40" s="23" t="n"/>
      <c r="W40" s="169">
        <f>T40*1.17*1.18</f>
        <v/>
      </c>
      <c r="X40" s="157">
        <f>E40*W40</f>
        <v/>
      </c>
      <c r="AC40" s="15" t="n">
        <v>8423224835739</v>
      </c>
    </row>
    <row r="41" ht="15.65" customHeight="1">
      <c r="B41" s="104" t="inlineStr">
        <is>
          <t>2-1461.200.14</t>
        </is>
      </c>
      <c r="C41" s="163" t="n"/>
      <c r="D41" s="9" t="inlineStr">
        <is>
          <t>砂白  3</t>
        </is>
      </c>
      <c r="E41" s="165" t="n"/>
      <c r="F41" s="165" t="n"/>
      <c r="G41" s="76" t="n">
        <v>72</v>
      </c>
      <c r="H41" s="166">
        <f>E41/G41</f>
        <v/>
      </c>
      <c r="I41" s="76" t="n">
        <v>0.6</v>
      </c>
      <c r="J41" s="76" t="n">
        <v>0.46</v>
      </c>
      <c r="K41" s="76" t="n">
        <v>0.23</v>
      </c>
      <c r="L41" s="76" t="n">
        <v>20.5</v>
      </c>
      <c r="M41" s="167">
        <f>H41*I41*J41*K41</f>
        <v/>
      </c>
      <c r="N41" s="171" t="n">
        <v>1152</v>
      </c>
      <c r="O41" s="167">
        <f>E41/N41</f>
        <v/>
      </c>
      <c r="P41" s="157">
        <f>H41*L41</f>
        <v/>
      </c>
      <c r="Q41" s="168" t="n"/>
      <c r="R41" s="132">
        <f>E41*Q41</f>
        <v/>
      </c>
      <c r="S41" s="168" t="n">
        <v>0.988</v>
      </c>
      <c r="T41" s="178" t="n">
        <v>4.1</v>
      </c>
      <c r="U41" s="157">
        <f>E41*T41</f>
        <v/>
      </c>
      <c r="W41" s="169">
        <f>T41*1.17*1.18</f>
        <v/>
      </c>
      <c r="X41" s="157">
        <f>E41*W41</f>
        <v/>
      </c>
      <c r="Y41" s="175">
        <f>E41*X41</f>
        <v/>
      </c>
      <c r="Z41" s="3" t="n">
        <v>0.25</v>
      </c>
      <c r="AA41" s="178">
        <f>E41*Z41</f>
        <v/>
      </c>
      <c r="AC41" s="15" t="n">
        <v>8423224835753</v>
      </c>
    </row>
    <row r="42" ht="15.65" customHeight="1">
      <c r="B42" s="104" t="inlineStr">
        <is>
          <t>2-1461.200.69</t>
        </is>
      </c>
      <c r="C42" s="163" t="n"/>
      <c r="D42" s="9" t="inlineStr">
        <is>
          <t>天蓝</t>
        </is>
      </c>
      <c r="E42" s="165" t="n"/>
      <c r="F42" s="165" t="n"/>
      <c r="G42" s="76" t="n">
        <v>72</v>
      </c>
      <c r="H42" s="166">
        <f>E42/G42</f>
        <v/>
      </c>
      <c r="I42" s="76" t="n">
        <v>0.6</v>
      </c>
      <c r="J42" s="76" t="n">
        <v>0.46</v>
      </c>
      <c r="K42" s="76" t="n">
        <v>0.23</v>
      </c>
      <c r="L42" s="76" t="n">
        <v>20.5</v>
      </c>
      <c r="M42" s="167">
        <f>H42*I42*J42*K42</f>
        <v/>
      </c>
      <c r="N42" s="171" t="n">
        <v>1152</v>
      </c>
      <c r="O42" s="167">
        <f>E42/N42</f>
        <v/>
      </c>
      <c r="P42" s="157">
        <f>H42*L42</f>
        <v/>
      </c>
      <c r="Q42" s="168" t="n"/>
      <c r="R42" s="132">
        <f>E42*Q42</f>
        <v/>
      </c>
      <c r="S42" s="168" t="n">
        <v>0.988</v>
      </c>
      <c r="T42" s="178" t="n">
        <v>4.19</v>
      </c>
      <c r="U42" s="157">
        <f>E42*T42</f>
        <v/>
      </c>
      <c r="V42" s="77" t="n"/>
      <c r="W42" s="169">
        <f>T42*1.17*1.18</f>
        <v/>
      </c>
      <c r="X42" s="157">
        <f>E42*W42</f>
        <v/>
      </c>
      <c r="AC42" s="15" t="n">
        <v>8423224807811</v>
      </c>
    </row>
    <row r="43" ht="15.65" customHeight="1">
      <c r="B43" s="104" t="inlineStr">
        <is>
          <t>2-1461.200.16</t>
        </is>
      </c>
      <c r="C43" s="163" t="n"/>
      <c r="D43" s="9" t="inlineStr">
        <is>
          <t>橙色</t>
        </is>
      </c>
      <c r="E43" s="165" t="n"/>
      <c r="F43" s="165" t="n"/>
      <c r="G43" s="76" t="n">
        <v>72</v>
      </c>
      <c r="H43" s="166">
        <f>E43/G43</f>
        <v/>
      </c>
      <c r="I43" s="76" t="n">
        <v>0.6</v>
      </c>
      <c r="J43" s="76" t="n">
        <v>0.46</v>
      </c>
      <c r="K43" s="76" t="n">
        <v>0.23</v>
      </c>
      <c r="L43" s="76" t="n">
        <v>20.5</v>
      </c>
      <c r="M43" s="167">
        <f>H43*I43*J43*K43</f>
        <v/>
      </c>
      <c r="N43" s="171" t="n">
        <v>1152</v>
      </c>
      <c r="O43" s="167">
        <f>E43/N43</f>
        <v/>
      </c>
      <c r="P43" s="157">
        <f>H43*L43</f>
        <v/>
      </c>
      <c r="Q43" s="168" t="n"/>
      <c r="R43" s="132">
        <f>E43*Q43</f>
        <v/>
      </c>
      <c r="S43" s="168" t="n">
        <v>0.988</v>
      </c>
      <c r="T43" s="178" t="n">
        <v>4.19</v>
      </c>
      <c r="U43" s="157">
        <f>E43*T43</f>
        <v/>
      </c>
      <c r="V43" s="23" t="n"/>
      <c r="W43" s="169">
        <f>T43*1.17*1.18</f>
        <v/>
      </c>
      <c r="X43" s="157">
        <f>E43*W43</f>
        <v/>
      </c>
      <c r="AC43" s="15" t="n">
        <v>8423224807804</v>
      </c>
    </row>
    <row r="44" ht="15.65" customHeight="1">
      <c r="B44" s="104" t="inlineStr">
        <is>
          <t>2-1461.200.07</t>
        </is>
      </c>
      <c r="C44" s="163" t="n"/>
      <c r="D44" s="9" t="inlineStr">
        <is>
          <t>淡黄绿色</t>
        </is>
      </c>
      <c r="E44" s="165" t="n"/>
      <c r="F44" s="165" t="n"/>
      <c r="G44" s="76" t="n">
        <v>72</v>
      </c>
      <c r="H44" s="166">
        <f>E44/G44</f>
        <v/>
      </c>
      <c r="I44" s="76" t="n">
        <v>0.6</v>
      </c>
      <c r="J44" s="76" t="n">
        <v>0.46</v>
      </c>
      <c r="K44" s="76" t="n">
        <v>0.23</v>
      </c>
      <c r="L44" s="76" t="n">
        <v>20.5</v>
      </c>
      <c r="M44" s="167">
        <f>H44*I44*J44*K44</f>
        <v/>
      </c>
      <c r="N44" s="171" t="n">
        <v>1152</v>
      </c>
      <c r="O44" s="167">
        <f>E44/N44</f>
        <v/>
      </c>
      <c r="P44" s="157">
        <f>H44*L44</f>
        <v/>
      </c>
      <c r="Q44" s="168" t="n"/>
      <c r="R44" s="132">
        <f>E44*Q44</f>
        <v/>
      </c>
      <c r="S44" s="168" t="n">
        <v>0.988</v>
      </c>
      <c r="T44" s="178" t="n">
        <v>4.19</v>
      </c>
      <c r="U44" s="157">
        <f>E44*T44</f>
        <v/>
      </c>
      <c r="W44" s="169">
        <f>T44*1.17*1.18</f>
        <v/>
      </c>
      <c r="X44" s="157">
        <f>E44*W44</f>
        <v/>
      </c>
      <c r="Y44" s="175">
        <f>E44*X44</f>
        <v/>
      </c>
      <c r="Z44" s="3" t="n">
        <v>0.25</v>
      </c>
      <c r="AA44" s="178">
        <f>E44*Z44</f>
        <v/>
      </c>
      <c r="AC44" s="15" t="n">
        <v>8423224807798</v>
      </c>
    </row>
    <row r="45" ht="15.65" customHeight="1">
      <c r="A45" s="107" t="inlineStr">
        <is>
          <t>Lead blue/Azul plomo</t>
        </is>
      </c>
      <c r="B45" s="104" t="inlineStr">
        <is>
          <t>2-1461.200.108</t>
        </is>
      </c>
      <c r="C45" s="163" t="n"/>
      <c r="D45" s="9" t="inlineStr">
        <is>
          <t>浅蓝  1</t>
        </is>
      </c>
      <c r="E45" s="165" t="n"/>
      <c r="F45" s="165" t="n"/>
      <c r="G45" s="76" t="n">
        <v>72</v>
      </c>
      <c r="H45" s="166">
        <f>E45/G45</f>
        <v/>
      </c>
      <c r="I45" s="76" t="n">
        <v>0.6</v>
      </c>
      <c r="J45" s="76" t="n">
        <v>0.46</v>
      </c>
      <c r="K45" s="76" t="n">
        <v>0.23</v>
      </c>
      <c r="L45" s="76" t="n">
        <v>20.5</v>
      </c>
      <c r="M45" s="167">
        <f>H45*I45*J45*K45</f>
        <v/>
      </c>
      <c r="N45" s="171" t="n">
        <v>1152</v>
      </c>
      <c r="O45" s="167">
        <f>E45/N45</f>
        <v/>
      </c>
      <c r="P45" s="157">
        <f>H45*L45</f>
        <v/>
      </c>
      <c r="Q45" s="168" t="n"/>
      <c r="R45" s="132">
        <f>E45*Q45</f>
        <v/>
      </c>
      <c r="S45" s="168" t="n">
        <v>1.103</v>
      </c>
      <c r="T45" s="178" t="n">
        <v>4.46</v>
      </c>
      <c r="U45" s="157">
        <f>E45*T45</f>
        <v/>
      </c>
      <c r="V45" s="77" t="n"/>
      <c r="W45" s="169">
        <f>T45*1.17*1.18</f>
        <v/>
      </c>
      <c r="X45" s="157">
        <f>E45*W45</f>
        <v/>
      </c>
      <c r="AC45" s="15" t="n">
        <v>8423224835708</v>
      </c>
    </row>
    <row r="46" ht="15.65" customHeight="1">
      <c r="B46" s="104" t="inlineStr">
        <is>
          <t>2-1461.200.41</t>
        </is>
      </c>
      <c r="C46" s="125" t="inlineStr">
        <is>
          <t>000461200004102</t>
        </is>
      </c>
      <c r="D46" s="9" t="inlineStr">
        <is>
          <t>咖啡色4</t>
        </is>
      </c>
      <c r="E46" s="165" t="n"/>
      <c r="F46" s="165" t="n"/>
      <c r="G46" s="76" t="n">
        <v>72</v>
      </c>
      <c r="H46" s="166">
        <f>E46/G46</f>
        <v/>
      </c>
      <c r="I46" s="76" t="n">
        <v>0.6</v>
      </c>
      <c r="J46" s="76" t="n">
        <v>0.46</v>
      </c>
      <c r="K46" s="76" t="n">
        <v>0.23</v>
      </c>
      <c r="L46" s="76" t="n">
        <v>20.5</v>
      </c>
      <c r="M46" s="167">
        <f>H46*I46*J46*K46</f>
        <v/>
      </c>
      <c r="N46" s="171" t="n">
        <v>1152</v>
      </c>
      <c r="O46" s="167">
        <f>E46/N46</f>
        <v/>
      </c>
      <c r="P46" s="157">
        <f>H46*L46</f>
        <v/>
      </c>
      <c r="Q46" s="168">
        <f>S46*0.85</f>
        <v/>
      </c>
      <c r="R46" s="132">
        <f>E46*Q46</f>
        <v/>
      </c>
      <c r="S46" s="168" t="n">
        <v>1.103</v>
      </c>
      <c r="T46" s="178" t="n">
        <v>4.46</v>
      </c>
      <c r="U46" s="157">
        <f>E46*T46</f>
        <v/>
      </c>
      <c r="W46" s="169">
        <f>T46*1.17*1.18</f>
        <v/>
      </c>
      <c r="X46" s="157">
        <f>E46*W46</f>
        <v/>
      </c>
      <c r="Y46" s="175">
        <f>E46*X46</f>
        <v/>
      </c>
      <c r="Z46" s="3" t="n">
        <v>0.25</v>
      </c>
      <c r="AA46" s="178">
        <f>E46*Z46</f>
        <v/>
      </c>
      <c r="AC46" s="15" t="n">
        <v>8423224835777</v>
      </c>
    </row>
    <row r="47" ht="15.65" customHeight="1">
      <c r="A47" s="9" t="inlineStr">
        <is>
          <t>新</t>
        </is>
      </c>
      <c r="B47" s="104" t="inlineStr">
        <is>
          <t>2-1461.200.35</t>
        </is>
      </c>
      <c r="C47" s="125" t="inlineStr">
        <is>
          <t>000461200001102</t>
        </is>
      </c>
      <c r="D47" s="9" t="inlineStr">
        <is>
          <t>棕色</t>
        </is>
      </c>
      <c r="E47" s="165" t="n"/>
      <c r="F47" s="165" t="n"/>
      <c r="G47" s="76" t="n">
        <v>72</v>
      </c>
      <c r="H47" s="166">
        <f>E47/G47</f>
        <v/>
      </c>
      <c r="I47" s="76" t="n">
        <v>0.6</v>
      </c>
      <c r="J47" s="76" t="n">
        <v>0.46</v>
      </c>
      <c r="K47" s="76" t="n">
        <v>0.23</v>
      </c>
      <c r="L47" s="76" t="n">
        <v>20.5</v>
      </c>
      <c r="M47" s="167">
        <f>H47*I47*J47*K47</f>
        <v/>
      </c>
      <c r="N47" s="171" t="n">
        <v>1152</v>
      </c>
      <c r="O47" s="167">
        <f>E47/N47</f>
        <v/>
      </c>
      <c r="P47" s="157">
        <f>H47*L47</f>
        <v/>
      </c>
      <c r="Q47" s="168">
        <f>S47*0.85</f>
        <v/>
      </c>
      <c r="R47" s="132">
        <f>E47*Q47</f>
        <v/>
      </c>
      <c r="S47" s="168" t="n">
        <v>1.103</v>
      </c>
      <c r="T47" s="178" t="n">
        <v>4.51</v>
      </c>
      <c r="U47" s="157">
        <f>E47*T47</f>
        <v/>
      </c>
      <c r="W47" s="169">
        <f>T47*1.17*1.18</f>
        <v/>
      </c>
      <c r="X47" s="157">
        <f>E47*W47</f>
        <v/>
      </c>
      <c r="Y47" s="175" t="n"/>
      <c r="AA47" s="178" t="n"/>
      <c r="AC47" s="15" t="n">
        <v>8423224821268</v>
      </c>
    </row>
    <row r="48" ht="15.65" customHeight="1">
      <c r="B48" s="104" t="n"/>
      <c r="C48" s="163" t="n"/>
      <c r="D48" s="9" t="n"/>
      <c r="E48" s="165" t="n"/>
      <c r="F48" s="165" t="n"/>
      <c r="H48" s="166" t="n"/>
      <c r="N48" s="171" t="n"/>
      <c r="P48" s="157" t="n"/>
      <c r="Q48" s="168" t="n"/>
      <c r="R48" s="132" t="n"/>
      <c r="S48" s="168" t="n"/>
      <c r="T48" s="19" t="n"/>
      <c r="U48" s="157" t="n"/>
      <c r="W48" s="169" t="n"/>
      <c r="X48" s="157">
        <f>E48*W48</f>
        <v/>
      </c>
      <c r="Y48" s="175" t="n"/>
      <c r="AA48" s="178" t="n"/>
      <c r="AC48" s="15" t="n"/>
    </row>
    <row r="49" ht="15.65" customHeight="1">
      <c r="A49" s="76" t="inlineStr">
        <is>
          <t>方台阶-150</t>
        </is>
      </c>
      <c r="B49" s="104" t="inlineStr">
        <is>
          <t>2-1462.150.R</t>
        </is>
      </c>
      <c r="C49" s="163" t="n"/>
      <c r="D49" s="76" t="inlineStr">
        <is>
          <t>简装毛胚</t>
        </is>
      </c>
      <c r="E49" s="165" t="n"/>
      <c r="F49" s="165" t="n"/>
      <c r="G49" s="76" t="n">
        <v>108</v>
      </c>
      <c r="H49" s="166">
        <f>E49/G49</f>
        <v/>
      </c>
      <c r="I49" s="76" t="n">
        <v>0.77</v>
      </c>
      <c r="J49" s="76" t="n">
        <v>0.37</v>
      </c>
      <c r="K49" s="76" t="n">
        <v>0.23</v>
      </c>
      <c r="L49" s="76" t="n">
        <v>25.5</v>
      </c>
      <c r="M49" s="167">
        <f>H49*I49*J49*K49</f>
        <v/>
      </c>
      <c r="N49" s="171" t="n">
        <v>1296</v>
      </c>
      <c r="O49" s="167">
        <f>E49/N49</f>
        <v/>
      </c>
      <c r="P49" s="157">
        <f>H49*L49</f>
        <v/>
      </c>
      <c r="Q49" s="168">
        <f>S49*0.85</f>
        <v/>
      </c>
      <c r="R49" s="132">
        <f>E49*Q49</f>
        <v/>
      </c>
      <c r="S49" s="168" t="n">
        <v>0.614</v>
      </c>
      <c r="T49" s="19" t="n">
        <v>2.4</v>
      </c>
      <c r="U49" s="157">
        <f>E49*T49</f>
        <v/>
      </c>
      <c r="W49" s="169">
        <f>T49*1.17*1.18</f>
        <v/>
      </c>
      <c r="X49" s="157">
        <f>E49*W49</f>
        <v/>
      </c>
      <c r="AC49" s="15" t="n">
        <v>8423224784631</v>
      </c>
    </row>
    <row r="50" ht="15.65" customHeight="1">
      <c r="B50" s="159" t="inlineStr">
        <is>
          <t>2-1462.150.38</t>
        </is>
      </c>
      <c r="C50" s="125" t="inlineStr">
        <is>
          <t>000462150003802</t>
        </is>
      </c>
      <c r="D50" s="9" t="inlineStr">
        <is>
          <t>银灰色</t>
        </is>
      </c>
      <c r="E50" s="165" t="n"/>
      <c r="F50" s="165" t="n"/>
      <c r="G50" s="76" t="n">
        <v>108</v>
      </c>
      <c r="H50" s="166">
        <f>E50/G50</f>
        <v/>
      </c>
      <c r="I50" s="76" t="n">
        <v>0.77</v>
      </c>
      <c r="J50" s="76" t="n">
        <v>0.37</v>
      </c>
      <c r="K50" s="76" t="n">
        <v>0.23</v>
      </c>
      <c r="L50" s="76" t="n">
        <v>25.5</v>
      </c>
      <c r="M50" s="167">
        <f>H50*I50*J50*K50</f>
        <v/>
      </c>
      <c r="N50" s="171" t="n">
        <v>1296</v>
      </c>
      <c r="O50" s="167">
        <f>E50/N50</f>
        <v/>
      </c>
      <c r="P50" s="157">
        <f>H50*L50</f>
        <v/>
      </c>
      <c r="Q50" s="168" t="n">
        <v>0.643</v>
      </c>
      <c r="R50" s="132">
        <f>E50*Q50</f>
        <v/>
      </c>
      <c r="S50" s="168" t="n">
        <v>0.757</v>
      </c>
      <c r="T50" s="19" t="n">
        <v>3.26</v>
      </c>
      <c r="U50" s="157">
        <f>E50*T50</f>
        <v/>
      </c>
      <c r="W50" s="169">
        <f>T50*1.17*1.18</f>
        <v/>
      </c>
      <c r="X50" s="157">
        <f>E50*W50</f>
        <v/>
      </c>
      <c r="AC50" s="15" t="n">
        <v>8423224784631</v>
      </c>
    </row>
    <row r="51" ht="15.65" customHeight="1">
      <c r="B51" s="104" t="inlineStr">
        <is>
          <t>2-1462.150.61</t>
        </is>
      </c>
      <c r="C51" s="125" t="inlineStr">
        <is>
          <t>000462150006102</t>
        </is>
      </c>
      <c r="D51" s="9" t="inlineStr">
        <is>
          <t>砂黑</t>
        </is>
      </c>
      <c r="E51" s="165" t="n"/>
      <c r="F51" s="165" t="n"/>
      <c r="G51" s="76" t="n">
        <v>108</v>
      </c>
      <c r="H51" s="166">
        <f>E51/G51</f>
        <v/>
      </c>
      <c r="I51" s="76" t="n">
        <v>0.77</v>
      </c>
      <c r="J51" s="76" t="n">
        <v>0.37</v>
      </c>
      <c r="K51" s="76" t="n">
        <v>0.23</v>
      </c>
      <c r="L51" s="76" t="n">
        <v>25.5</v>
      </c>
      <c r="M51" s="167">
        <f>H51*I51*J51*K51</f>
        <v/>
      </c>
      <c r="N51" s="171" t="n">
        <v>1296</v>
      </c>
      <c r="O51" s="167">
        <f>E51/N51</f>
        <v/>
      </c>
      <c r="P51" s="157">
        <f>H51*L51</f>
        <v/>
      </c>
      <c r="Q51" s="168">
        <f>S51*0.85</f>
        <v/>
      </c>
      <c r="R51" s="132">
        <f>E51*Q51</f>
        <v/>
      </c>
      <c r="S51" s="168" t="n">
        <v>0.77</v>
      </c>
      <c r="T51" s="19" t="n">
        <v>3.31</v>
      </c>
      <c r="U51" s="157">
        <f>E51*T51</f>
        <v/>
      </c>
      <c r="W51" s="169">
        <f>T51*1.17*1.18</f>
        <v/>
      </c>
      <c r="X51" s="157">
        <f>E51*W51</f>
        <v/>
      </c>
      <c r="AC51" s="15" t="n">
        <v>8423224784617</v>
      </c>
    </row>
    <row r="52" ht="15.65" customHeight="1">
      <c r="B52" s="104" t="n"/>
      <c r="C52" s="163" t="n"/>
      <c r="D52" s="9" t="n"/>
      <c r="E52" s="165" t="n"/>
      <c r="F52" s="165" t="n"/>
      <c r="H52" s="166" t="n"/>
      <c r="N52" s="171" t="n"/>
      <c r="P52" s="157" t="n"/>
      <c r="Q52" s="168" t="n"/>
      <c r="R52" s="132" t="n"/>
      <c r="S52" s="168" t="n"/>
      <c r="T52" s="19" t="n"/>
      <c r="U52" s="157" t="n"/>
      <c r="W52" s="169" t="n"/>
      <c r="X52" s="157">
        <f>E52*W52</f>
        <v/>
      </c>
      <c r="AC52" s="15" t="n"/>
    </row>
    <row r="53" ht="15.65" customHeight="1">
      <c r="A53" s="76" t="inlineStr">
        <is>
          <t>方台阶-200</t>
        </is>
      </c>
      <c r="B53" s="104" t="inlineStr">
        <is>
          <t>2-1462.200.R</t>
        </is>
      </c>
      <c r="C53" s="125" t="inlineStr">
        <is>
          <t>000462200000000</t>
        </is>
      </c>
      <c r="D53" s="76" t="inlineStr">
        <is>
          <t>简装毛胚</t>
        </is>
      </c>
      <c r="E53" s="165" t="n"/>
      <c r="F53" s="165" t="n"/>
      <c r="G53" s="76" t="n">
        <v>100</v>
      </c>
      <c r="H53" s="166">
        <f>E53/G53</f>
        <v/>
      </c>
      <c r="I53" s="76" t="n">
        <v>0.6</v>
      </c>
      <c r="J53" s="76" t="n">
        <v>0.46</v>
      </c>
      <c r="K53" s="76" t="n">
        <v>0.23</v>
      </c>
      <c r="L53" s="76" t="n">
        <v>23</v>
      </c>
      <c r="M53" s="167">
        <f>H53*I53*J53*K53</f>
        <v/>
      </c>
      <c r="N53" s="171" t="n">
        <v>1152</v>
      </c>
      <c r="O53" s="167">
        <f>E53/N53</f>
        <v/>
      </c>
      <c r="P53" s="157">
        <f>H53*L53</f>
        <v/>
      </c>
      <c r="Q53" s="168">
        <f>S53*0.85</f>
        <v/>
      </c>
      <c r="R53" s="132">
        <f>E53*Q53</f>
        <v/>
      </c>
      <c r="S53" s="168" t="n">
        <v>0.837</v>
      </c>
      <c r="T53" s="19" t="n">
        <v>3.3</v>
      </c>
      <c r="U53" s="157">
        <f>E53*T53</f>
        <v/>
      </c>
      <c r="W53" s="169">
        <f>T53*1.17*1.18</f>
        <v/>
      </c>
      <c r="X53" s="157">
        <f>E53*W53</f>
        <v/>
      </c>
      <c r="AC53" s="15" t="n">
        <v>8423224784785</v>
      </c>
    </row>
    <row r="54" ht="15.65" customHeight="1">
      <c r="B54" s="104" t="inlineStr">
        <is>
          <t>2-1462.200.38</t>
        </is>
      </c>
      <c r="C54" s="125" t="inlineStr">
        <is>
          <t>000462200003802</t>
        </is>
      </c>
      <c r="D54" s="9" t="inlineStr">
        <is>
          <t>银灰色</t>
        </is>
      </c>
      <c r="E54" s="165" t="n"/>
      <c r="F54" s="165" t="n"/>
      <c r="G54" s="76" t="n">
        <v>72</v>
      </c>
      <c r="H54" s="166">
        <f>E54/G54</f>
        <v/>
      </c>
      <c r="I54" s="76" t="n">
        <v>0.6</v>
      </c>
      <c r="J54" s="76" t="n">
        <v>0.46</v>
      </c>
      <c r="K54" s="76" t="n">
        <v>0.23</v>
      </c>
      <c r="L54" s="76" t="n">
        <v>23</v>
      </c>
      <c r="M54" s="167">
        <f>H54*I54*J54*K54</f>
        <v/>
      </c>
      <c r="N54" s="171" t="n">
        <v>1152</v>
      </c>
      <c r="O54" s="167">
        <f>E54/N54</f>
        <v/>
      </c>
      <c r="P54" s="157">
        <f>H54*L54</f>
        <v/>
      </c>
      <c r="Q54" s="168" t="n">
        <v>0.873</v>
      </c>
      <c r="R54" s="132">
        <f>E54*Q54</f>
        <v/>
      </c>
      <c r="S54" s="168" t="n">
        <v>1.027</v>
      </c>
      <c r="T54" s="3" t="n">
        <v>4.39</v>
      </c>
      <c r="U54" s="157">
        <f>E54*T54</f>
        <v/>
      </c>
      <c r="W54" s="169">
        <f>T54*1.17*1.18</f>
        <v/>
      </c>
      <c r="X54" s="157">
        <f>E54*W54</f>
        <v/>
      </c>
      <c r="AC54" s="15" t="n">
        <v>8423224784785</v>
      </c>
    </row>
    <row r="55" ht="15.65" customHeight="1">
      <c r="B55" s="104" t="inlineStr">
        <is>
          <t>2-1462.200.61</t>
        </is>
      </c>
      <c r="C55" s="125" t="inlineStr">
        <is>
          <t>000462200006102</t>
        </is>
      </c>
      <c r="D55" s="9" t="inlineStr">
        <is>
          <t>砂黑</t>
        </is>
      </c>
      <c r="E55" s="165" t="n"/>
      <c r="F55" s="165" t="n"/>
      <c r="G55" s="76" t="n">
        <v>72</v>
      </c>
      <c r="H55" s="166">
        <f>E55/G55</f>
        <v/>
      </c>
      <c r="I55" s="76" t="n">
        <v>0.6</v>
      </c>
      <c r="J55" s="76" t="n">
        <v>0.46</v>
      </c>
      <c r="K55" s="76" t="n">
        <v>0.23</v>
      </c>
      <c r="L55" s="76" t="n">
        <v>23</v>
      </c>
      <c r="M55" s="167">
        <f>H55*I55*J55*K55</f>
        <v/>
      </c>
      <c r="N55" s="171" t="n">
        <v>1152</v>
      </c>
      <c r="O55" s="167">
        <f>E55/N55</f>
        <v/>
      </c>
      <c r="P55" s="157">
        <f>H55*L55</f>
        <v/>
      </c>
      <c r="Q55" s="168" t="n">
        <v>0.893</v>
      </c>
      <c r="R55" s="132">
        <f>E55*Q55</f>
        <v/>
      </c>
      <c r="S55" s="168" t="n">
        <v>1.051</v>
      </c>
      <c r="T55" s="3" t="n">
        <v>4.47</v>
      </c>
      <c r="U55" s="157">
        <f>E55*T55</f>
        <v/>
      </c>
      <c r="W55" s="169">
        <f>T55*1.17*1.18</f>
        <v/>
      </c>
      <c r="X55" s="157">
        <f>E55*W55</f>
        <v/>
      </c>
      <c r="AC55" s="15" t="n">
        <v>8423224784761</v>
      </c>
    </row>
    <row r="56" ht="15.65" customHeight="1">
      <c r="B56" s="104" t="n"/>
      <c r="C56" s="163" t="n"/>
      <c r="D56" s="9" t="n"/>
      <c r="E56" s="165" t="n"/>
      <c r="F56" s="165" t="n"/>
      <c r="H56" s="166" t="n"/>
      <c r="N56" s="171" t="n"/>
      <c r="P56" s="157" t="n"/>
      <c r="Q56" s="168" t="n"/>
      <c r="R56" s="132" t="n"/>
      <c r="S56" s="168" t="n"/>
      <c r="T56" s="3" t="n"/>
      <c r="U56" s="157" t="n"/>
      <c r="W56" s="169">
        <f>T56*1.17*1.18</f>
        <v/>
      </c>
      <c r="X56" s="157">
        <f>E56*W56</f>
        <v/>
      </c>
      <c r="AC56" s="15" t="n"/>
    </row>
    <row r="57" ht="15.65" customHeight="1">
      <c r="A57" s="76" t="inlineStr">
        <is>
          <t>圆圈-150</t>
        </is>
      </c>
      <c r="B57" s="104" t="inlineStr">
        <is>
          <t>2-1463.150.R</t>
        </is>
      </c>
      <c r="C57" s="163" t="n"/>
      <c r="D57" s="76" t="inlineStr">
        <is>
          <t>简装毛胚</t>
        </is>
      </c>
      <c r="E57" s="165" t="n"/>
      <c r="F57" s="165" t="n"/>
      <c r="G57" s="76" t="n">
        <v>108</v>
      </c>
      <c r="H57" s="166">
        <f>E57/G57</f>
        <v/>
      </c>
      <c r="I57" s="167" t="n">
        <v>0.4</v>
      </c>
      <c r="J57" s="167" t="n">
        <v>0.3</v>
      </c>
      <c r="K57" s="76" t="n">
        <v>0.21</v>
      </c>
      <c r="L57" s="179" t="n">
        <v>25</v>
      </c>
      <c r="M57" s="167">
        <f>H57*I57*J57*K57</f>
        <v/>
      </c>
      <c r="N57" s="171" t="n"/>
      <c r="P57" s="157">
        <f>H57*L57</f>
        <v/>
      </c>
      <c r="Q57" s="168">
        <f>S57*0.85</f>
        <v/>
      </c>
      <c r="R57" s="132">
        <f>E57*Q57</f>
        <v/>
      </c>
      <c r="S57" s="168" t="n">
        <v>0.767</v>
      </c>
      <c r="T57" s="178" t="n">
        <v>3.2</v>
      </c>
      <c r="U57" s="157">
        <f>E57*T57</f>
        <v/>
      </c>
      <c r="W57" s="169">
        <f>T57*1.17*1.18</f>
        <v/>
      </c>
      <c r="X57" s="157">
        <f>E57*W57</f>
        <v/>
      </c>
      <c r="AC57" s="15" t="n"/>
    </row>
    <row r="58" ht="15.65" customHeight="1">
      <c r="B58" s="104" t="inlineStr">
        <is>
          <t>2-1463.150.01</t>
        </is>
      </c>
      <c r="C58" s="163" t="n"/>
      <c r="D58" s="9" t="inlineStr">
        <is>
          <t>白色</t>
        </is>
      </c>
      <c r="E58" s="165" t="n"/>
      <c r="F58" s="165" t="n"/>
      <c r="G58" s="76" t="n">
        <v>108</v>
      </c>
      <c r="H58" s="166">
        <f>E58/G58</f>
        <v/>
      </c>
      <c r="I58" s="76" t="n">
        <v>0.77</v>
      </c>
      <c r="J58" s="76" t="n">
        <v>0.37</v>
      </c>
      <c r="K58" s="76" t="n">
        <v>0.23</v>
      </c>
      <c r="L58" s="76" t="n">
        <v>22.5</v>
      </c>
      <c r="M58" s="167">
        <f>H58*I58*J58*K58</f>
        <v/>
      </c>
      <c r="N58" s="171" t="n">
        <v>1296</v>
      </c>
      <c r="O58" s="167">
        <f>E58/N58</f>
        <v/>
      </c>
      <c r="P58" s="157">
        <f>H58*L58</f>
        <v/>
      </c>
      <c r="Q58" s="168">
        <f>S58*0.85</f>
        <v/>
      </c>
      <c r="R58" s="132">
        <f>E58*Q58</f>
        <v/>
      </c>
      <c r="S58" s="168" t="n">
        <v>0.91</v>
      </c>
      <c r="T58" s="178" t="n">
        <v>3.92</v>
      </c>
      <c r="U58" s="157">
        <f>E58*T58</f>
        <v/>
      </c>
      <c r="V58" s="23" t="n"/>
      <c r="W58" s="169">
        <f>T58*1.17*1.18</f>
        <v/>
      </c>
      <c r="X58" s="157">
        <f>E58*W58</f>
        <v/>
      </c>
      <c r="Y58" s="175" t="n"/>
      <c r="AC58" s="15" t="n">
        <v>8423224807828</v>
      </c>
    </row>
    <row r="59" ht="15.65" customHeight="1">
      <c r="B59" s="104" t="inlineStr">
        <is>
          <t>2-1463.150.38</t>
        </is>
      </c>
      <c r="C59" s="125" t="inlineStr">
        <is>
          <t>000463150003802</t>
        </is>
      </c>
      <c r="D59" s="9" t="inlineStr">
        <is>
          <t>银灰色</t>
        </is>
      </c>
      <c r="E59" s="165" t="n"/>
      <c r="F59" s="165" t="n"/>
      <c r="G59" s="76" t="n">
        <v>108</v>
      </c>
      <c r="H59" s="166">
        <f>E59/G59</f>
        <v/>
      </c>
      <c r="I59" s="76" t="n">
        <v>0.77</v>
      </c>
      <c r="J59" s="76" t="n">
        <v>0.37</v>
      </c>
      <c r="K59" s="76" t="n">
        <v>0.23</v>
      </c>
      <c r="L59" s="76" t="n">
        <v>22.5</v>
      </c>
      <c r="M59" s="167">
        <f>H59*I59*J59*K59</f>
        <v/>
      </c>
      <c r="N59" s="171" t="n">
        <v>1296</v>
      </c>
      <c r="O59" s="167">
        <f>E59/N59</f>
        <v/>
      </c>
      <c r="P59" s="157">
        <f>H59*L59</f>
        <v/>
      </c>
      <c r="Q59" s="168">
        <f>S59*0.85</f>
        <v/>
      </c>
      <c r="R59" s="132">
        <f>E59*Q59</f>
        <v/>
      </c>
      <c r="S59" s="168" t="n">
        <v>0.91</v>
      </c>
      <c r="T59" s="178" t="n">
        <v>3.92</v>
      </c>
      <c r="U59" s="157">
        <f>E59*T59</f>
        <v/>
      </c>
      <c r="V59" s="23" t="n"/>
      <c r="W59" s="169">
        <f>T59*1.17*1.18</f>
        <v/>
      </c>
      <c r="X59" s="157">
        <f>E59*W59</f>
        <v/>
      </c>
      <c r="Y59" s="175" t="n"/>
      <c r="AA59" s="178" t="n"/>
      <c r="AC59" s="15" t="n">
        <v>8423224784662</v>
      </c>
    </row>
    <row r="60" ht="15.65" customHeight="1">
      <c r="A60" s="76" t="inlineStr">
        <is>
          <t>新</t>
        </is>
      </c>
      <c r="B60" s="104" t="inlineStr">
        <is>
          <t>2-1463.150.03</t>
        </is>
      </c>
      <c r="C60" s="163" t="n"/>
      <c r="D60" s="9" t="inlineStr">
        <is>
          <t>黑色</t>
        </is>
      </c>
      <c r="E60" s="165" t="n"/>
      <c r="F60" s="165" t="n"/>
      <c r="G60" s="76" t="n">
        <v>108</v>
      </c>
      <c r="H60" s="166">
        <f>E60/G60</f>
        <v/>
      </c>
      <c r="I60" s="76" t="n">
        <v>0.77</v>
      </c>
      <c r="J60" s="76" t="n">
        <v>0.37</v>
      </c>
      <c r="K60" s="76" t="n">
        <v>0.23</v>
      </c>
      <c r="L60" s="76" t="n">
        <v>22.5</v>
      </c>
      <c r="M60" s="167">
        <f>H60*I60*J60*K60</f>
        <v/>
      </c>
      <c r="N60" s="171" t="n">
        <v>1296</v>
      </c>
      <c r="O60" s="167">
        <f>E60/N60</f>
        <v/>
      </c>
      <c r="P60" s="157">
        <f>H60*L60</f>
        <v/>
      </c>
      <c r="Q60" s="168">
        <f>S60*0.85</f>
        <v/>
      </c>
      <c r="R60" s="132">
        <f>E60*Q60</f>
        <v/>
      </c>
      <c r="S60" s="168" t="n">
        <v>0.91</v>
      </c>
      <c r="T60" s="178" t="n">
        <v>3.92</v>
      </c>
      <c r="U60" s="157">
        <f>E60*T60</f>
        <v/>
      </c>
      <c r="W60" s="169">
        <f>T60*1.17*1.18</f>
        <v/>
      </c>
      <c r="X60" s="157">
        <f>E60*W60</f>
        <v/>
      </c>
      <c r="AC60" s="15" t="n">
        <v>8423224835784</v>
      </c>
    </row>
    <row r="61" ht="15.65" customHeight="1">
      <c r="A61" s="76" t="inlineStr">
        <is>
          <t>Burdeos</t>
        </is>
      </c>
      <c r="B61" s="104" t="inlineStr">
        <is>
          <t>2-1463.150.23</t>
        </is>
      </c>
      <c r="C61" s="163" t="n"/>
      <c r="D61" s="9" t="inlineStr">
        <is>
          <t>朱红  2</t>
        </is>
      </c>
      <c r="E61" s="165" t="n"/>
      <c r="F61" s="165" t="n"/>
      <c r="G61" s="76" t="n">
        <v>108</v>
      </c>
      <c r="H61" s="166">
        <f>E61/G61</f>
        <v/>
      </c>
      <c r="I61" s="76" t="n">
        <v>0.77</v>
      </c>
      <c r="J61" s="76" t="n">
        <v>0.37</v>
      </c>
      <c r="K61" s="76" t="n">
        <v>0.23</v>
      </c>
      <c r="L61" s="76" t="n">
        <v>22.5</v>
      </c>
      <c r="M61" s="167">
        <f>H61*I61*J61*K61</f>
        <v/>
      </c>
      <c r="N61" s="171" t="n">
        <v>1296</v>
      </c>
      <c r="O61" s="167">
        <f>E61/N61</f>
        <v/>
      </c>
      <c r="P61" s="157">
        <f>H61*L61</f>
        <v/>
      </c>
      <c r="Q61" s="168">
        <f>S61*0.85</f>
        <v/>
      </c>
      <c r="R61" s="132">
        <f>E61*Q61</f>
        <v/>
      </c>
      <c r="S61" s="168" t="n">
        <v>0.923</v>
      </c>
      <c r="T61" s="178" t="n">
        <v>3.92</v>
      </c>
      <c r="U61" s="157">
        <f>E61*T61</f>
        <v/>
      </c>
      <c r="W61" s="169">
        <f>T61*1.17*1.18</f>
        <v/>
      </c>
      <c r="X61" s="157">
        <f>E61*W61</f>
        <v/>
      </c>
      <c r="AC61" s="15" t="n">
        <v>8423224835807</v>
      </c>
    </row>
    <row r="62" ht="15.65" customHeight="1">
      <c r="A62" s="76" t="inlineStr">
        <is>
          <t>Crema</t>
        </is>
      </c>
      <c r="B62" s="104" t="inlineStr">
        <is>
          <t>2-1463.150.14</t>
        </is>
      </c>
      <c r="C62" s="163" t="n"/>
      <c r="D62" s="9" t="inlineStr">
        <is>
          <t>砂白  3</t>
        </is>
      </c>
      <c r="E62" s="165" t="n"/>
      <c r="F62" s="165" t="n"/>
      <c r="G62" s="76" t="n">
        <v>108</v>
      </c>
      <c r="H62" s="166">
        <f>E62/G62</f>
        <v/>
      </c>
      <c r="I62" s="76" t="n">
        <v>0.77</v>
      </c>
      <c r="J62" s="76" t="n">
        <v>0.37</v>
      </c>
      <c r="K62" s="76" t="n">
        <v>0.23</v>
      </c>
      <c r="L62" s="76" t="n">
        <v>22.5</v>
      </c>
      <c r="M62" s="167">
        <f>H62*I62*J62*K62</f>
        <v/>
      </c>
      <c r="N62" s="171" t="n">
        <v>1296</v>
      </c>
      <c r="O62" s="167">
        <f>E62/N62</f>
        <v/>
      </c>
      <c r="P62" s="157">
        <f>H62*L62</f>
        <v/>
      </c>
      <c r="Q62" s="168">
        <f>S62*0.85</f>
        <v/>
      </c>
      <c r="R62" s="132">
        <f>E62*Q62</f>
        <v/>
      </c>
      <c r="S62" s="168" t="n">
        <v>0.923</v>
      </c>
      <c r="T62" s="178" t="n">
        <v>3.92</v>
      </c>
      <c r="U62" s="157">
        <f>E62*T62</f>
        <v/>
      </c>
      <c r="W62" s="169">
        <f>T62*1.17*1.18</f>
        <v/>
      </c>
      <c r="X62" s="157">
        <f>E62*W62</f>
        <v/>
      </c>
      <c r="AC62" s="15" t="n">
        <v>8423224835814</v>
      </c>
    </row>
    <row r="63" ht="15.65" customHeight="1">
      <c r="B63" s="104" t="inlineStr">
        <is>
          <t>2-1463.150.69</t>
        </is>
      </c>
      <c r="C63" s="163" t="n"/>
      <c r="D63" s="9" t="inlineStr">
        <is>
          <t>天蓝</t>
        </is>
      </c>
      <c r="E63" s="165" t="n"/>
      <c r="F63" s="165" t="n"/>
      <c r="G63" s="76" t="n">
        <v>108</v>
      </c>
      <c r="H63" s="166">
        <f>E63/G63</f>
        <v/>
      </c>
      <c r="I63" s="76" t="n">
        <v>0.77</v>
      </c>
      <c r="J63" s="76" t="n">
        <v>0.37</v>
      </c>
      <c r="K63" s="76" t="n">
        <v>0.23</v>
      </c>
      <c r="L63" s="76" t="n">
        <v>22.5</v>
      </c>
      <c r="M63" s="167">
        <f>H63*I63*J63*K63</f>
        <v/>
      </c>
      <c r="N63" s="171" t="n">
        <v>1296</v>
      </c>
      <c r="O63" s="167">
        <f>E63/N63</f>
        <v/>
      </c>
      <c r="P63" s="157">
        <f>H63*L63</f>
        <v/>
      </c>
      <c r="Q63" s="168">
        <f>S63*0.85</f>
        <v/>
      </c>
      <c r="R63" s="132">
        <f>E63*Q63</f>
        <v/>
      </c>
      <c r="S63" s="168" t="n">
        <v>0.923</v>
      </c>
      <c r="T63" s="178" t="n">
        <v>3.97</v>
      </c>
      <c r="U63" s="157">
        <f>E63*T63</f>
        <v/>
      </c>
      <c r="V63" s="77" t="n"/>
      <c r="W63" s="169">
        <f>T63*1.17*1.18</f>
        <v/>
      </c>
      <c r="X63" s="157">
        <f>E63*W63</f>
        <v/>
      </c>
      <c r="Y63" s="175" t="n"/>
      <c r="Z63" s="3" t="n">
        <v>0.014</v>
      </c>
      <c r="AA63" s="178">
        <f>E63*Z63</f>
        <v/>
      </c>
      <c r="AC63" s="15" t="n">
        <v>8423224807866</v>
      </c>
    </row>
    <row r="64" ht="15.65" customHeight="1">
      <c r="B64" s="104" t="inlineStr">
        <is>
          <t>2-1463.150.16</t>
        </is>
      </c>
      <c r="C64" s="163" t="n"/>
      <c r="D64" s="9" t="inlineStr">
        <is>
          <t>橙色</t>
        </is>
      </c>
      <c r="E64" s="165" t="n"/>
      <c r="F64" s="165" t="n"/>
      <c r="G64" s="76" t="n">
        <v>108</v>
      </c>
      <c r="H64" s="166">
        <f>E64/G64</f>
        <v/>
      </c>
      <c r="I64" s="76" t="n">
        <v>0.77</v>
      </c>
      <c r="J64" s="76" t="n">
        <v>0.37</v>
      </c>
      <c r="K64" s="76" t="n">
        <v>0.23</v>
      </c>
      <c r="L64" s="76" t="n">
        <v>22.5</v>
      </c>
      <c r="M64" s="167">
        <f>H64*I64*J64*K64</f>
        <v/>
      </c>
      <c r="N64" s="171" t="n">
        <v>1296</v>
      </c>
      <c r="O64" s="167">
        <f>E64/N64</f>
        <v/>
      </c>
      <c r="P64" s="157">
        <f>H64*L64</f>
        <v/>
      </c>
      <c r="Q64" s="168">
        <f>S64*0.85</f>
        <v/>
      </c>
      <c r="R64" s="132">
        <f>E64*Q64</f>
        <v/>
      </c>
      <c r="S64" s="168" t="n">
        <v>0.923</v>
      </c>
      <c r="T64" s="178" t="n">
        <v>3.97</v>
      </c>
      <c r="U64" s="157">
        <f>E64*T64</f>
        <v/>
      </c>
      <c r="W64" s="169">
        <f>T64*1.17*1.18</f>
        <v/>
      </c>
      <c r="X64" s="157">
        <f>E64*W64</f>
        <v/>
      </c>
      <c r="AC64" s="15" t="n">
        <v>8423224807859</v>
      </c>
    </row>
    <row r="65" ht="15.65" customHeight="1">
      <c r="B65" s="104" t="inlineStr">
        <is>
          <t>2-1463.150.07</t>
        </is>
      </c>
      <c r="C65" s="163" t="n"/>
      <c r="D65" s="9" t="inlineStr">
        <is>
          <t>淡黄绿色</t>
        </is>
      </c>
      <c r="E65" s="165" t="n"/>
      <c r="F65" s="165" t="n"/>
      <c r="G65" s="76" t="n">
        <v>108</v>
      </c>
      <c r="H65" s="166">
        <f>E65/G65</f>
        <v/>
      </c>
      <c r="I65" s="76" t="n">
        <v>0.77</v>
      </c>
      <c r="J65" s="76" t="n">
        <v>0.37</v>
      </c>
      <c r="K65" s="76" t="n">
        <v>0.23</v>
      </c>
      <c r="L65" s="76" t="n">
        <v>22.5</v>
      </c>
      <c r="M65" s="167">
        <f>H65*I65*J65*K65</f>
        <v/>
      </c>
      <c r="N65" s="171" t="n">
        <v>1296</v>
      </c>
      <c r="O65" s="167">
        <f>E65/N65</f>
        <v/>
      </c>
      <c r="P65" s="157">
        <f>H65*L65</f>
        <v/>
      </c>
      <c r="Q65" s="168">
        <f>S65*0.85</f>
        <v/>
      </c>
      <c r="R65" s="132">
        <f>E65*Q65</f>
        <v/>
      </c>
      <c r="S65" s="168" t="n">
        <v>0.923</v>
      </c>
      <c r="T65" s="178" t="n">
        <v>3.97</v>
      </c>
      <c r="U65" s="157">
        <f>E65*T65</f>
        <v/>
      </c>
      <c r="W65" s="169">
        <f>T65*1.17*1.18</f>
        <v/>
      </c>
      <c r="X65" s="157">
        <f>E65*W65</f>
        <v/>
      </c>
      <c r="AC65" s="15" t="n">
        <v>8423224807842</v>
      </c>
    </row>
    <row r="66" ht="15.65" customHeight="1">
      <c r="B66" s="104" t="inlineStr">
        <is>
          <t>2-1463.150.04</t>
        </is>
      </c>
      <c r="C66" s="163" t="inlineStr">
        <is>
          <t>000463150000402</t>
        </is>
      </c>
      <c r="D66" s="9" t="inlineStr">
        <is>
          <t>红色</t>
        </is>
      </c>
      <c r="E66" s="165" t="n"/>
      <c r="F66" s="165" t="n"/>
      <c r="G66" s="76" t="n">
        <v>108</v>
      </c>
      <c r="H66" s="166">
        <f>E66/G66</f>
        <v/>
      </c>
      <c r="I66" s="76" t="n">
        <v>0.77</v>
      </c>
      <c r="J66" s="76" t="n">
        <v>0.37</v>
      </c>
      <c r="K66" s="76" t="n">
        <v>0.23</v>
      </c>
      <c r="L66" s="76" t="n">
        <v>22.5</v>
      </c>
      <c r="M66" s="167">
        <f>H66*I66*J66*K66</f>
        <v/>
      </c>
      <c r="N66" s="171" t="n">
        <v>1296</v>
      </c>
      <c r="O66" s="167">
        <f>E66/N66</f>
        <v/>
      </c>
      <c r="P66" s="157">
        <f>H66*L66</f>
        <v/>
      </c>
      <c r="Q66" s="168">
        <f>S66*0.85</f>
        <v/>
      </c>
      <c r="R66" s="132">
        <f>E66*Q66</f>
        <v/>
      </c>
      <c r="S66" s="168" t="n">
        <v>0.923</v>
      </c>
      <c r="T66" s="178" t="n">
        <v>3.97</v>
      </c>
      <c r="U66" s="157">
        <f>E66*T66</f>
        <v/>
      </c>
      <c r="W66" s="169">
        <f>T66*1.17*1.18</f>
        <v/>
      </c>
      <c r="X66" s="157">
        <f>E66*W66</f>
        <v/>
      </c>
      <c r="AC66" s="15" t="n">
        <v>8423224807835</v>
      </c>
    </row>
    <row r="67" ht="15.65" customHeight="1">
      <c r="B67" s="104" t="inlineStr">
        <is>
          <t>2-1463.150.61</t>
        </is>
      </c>
      <c r="C67" s="163" t="n"/>
      <c r="D67" s="9" t="inlineStr">
        <is>
          <t>砂黑</t>
        </is>
      </c>
      <c r="E67" s="165" t="n"/>
      <c r="F67" s="165" t="n"/>
      <c r="G67" s="76" t="n">
        <v>108</v>
      </c>
      <c r="H67" s="166">
        <f>E67/G67</f>
        <v/>
      </c>
      <c r="I67" s="76" t="n">
        <v>0.77</v>
      </c>
      <c r="J67" s="76" t="n">
        <v>0.37</v>
      </c>
      <c r="K67" s="76" t="n">
        <v>0.23</v>
      </c>
      <c r="L67" s="76" t="n">
        <v>22.5</v>
      </c>
      <c r="M67" s="167">
        <f>H67*I67*J67*K67</f>
        <v/>
      </c>
      <c r="N67" s="171" t="n">
        <v>1296</v>
      </c>
      <c r="O67" s="167">
        <f>E67/N67</f>
        <v/>
      </c>
      <c r="P67" s="157">
        <f>H67*L67</f>
        <v/>
      </c>
      <c r="Q67" s="168">
        <f>S67*0.85</f>
        <v/>
      </c>
      <c r="R67" s="132">
        <f>E67*Q67</f>
        <v/>
      </c>
      <c r="S67" s="168" t="n">
        <v>0.923</v>
      </c>
      <c r="T67" s="178" t="n">
        <v>3.97</v>
      </c>
      <c r="U67" s="157">
        <f>E67*T67</f>
        <v/>
      </c>
      <c r="W67" s="169">
        <f>T67*1.17*1.18</f>
        <v/>
      </c>
      <c r="X67" s="157">
        <f>E67*W67</f>
        <v/>
      </c>
      <c r="AC67" s="15" t="n">
        <v>8423224784648</v>
      </c>
    </row>
    <row r="68" ht="15.65" customHeight="1">
      <c r="A68" s="76" t="inlineStr">
        <is>
          <t>蓝 lead blue</t>
        </is>
      </c>
      <c r="B68" s="104" t="inlineStr">
        <is>
          <t>2-1463.150.108</t>
        </is>
      </c>
      <c r="C68" s="163" t="n"/>
      <c r="D68" s="9" t="inlineStr">
        <is>
          <t>浅蓝  1</t>
        </is>
      </c>
      <c r="E68" s="165" t="n"/>
      <c r="F68" s="165" t="n"/>
      <c r="G68" s="76" t="n">
        <v>108</v>
      </c>
      <c r="H68" s="166">
        <f>E68/G68</f>
        <v/>
      </c>
      <c r="I68" s="76" t="n">
        <v>0.77</v>
      </c>
      <c r="J68" s="76" t="n">
        <v>0.37</v>
      </c>
      <c r="K68" s="76" t="n">
        <v>0.23</v>
      </c>
      <c r="L68" s="76" t="n">
        <v>22.5</v>
      </c>
      <c r="M68" s="167">
        <f>H68*I68*J68*K68</f>
        <v/>
      </c>
      <c r="N68" s="171" t="n">
        <v>1296</v>
      </c>
      <c r="O68" s="167">
        <f>E68/N68</f>
        <v/>
      </c>
      <c r="P68" s="157">
        <f>H68*L68</f>
        <v/>
      </c>
      <c r="Q68" s="168">
        <f>S68*0.85</f>
        <v/>
      </c>
      <c r="R68" s="132">
        <f>E68*Q68</f>
        <v/>
      </c>
      <c r="S68" s="168" t="n">
        <v>1.014</v>
      </c>
      <c r="T68" s="178" t="n">
        <v>4.2</v>
      </c>
      <c r="U68" s="157">
        <f>E68*T68</f>
        <v/>
      </c>
      <c r="V68" s="77" t="n"/>
      <c r="W68" s="169">
        <f>T68*1.17*1.18</f>
        <v/>
      </c>
      <c r="X68" s="157">
        <f>E68*W68</f>
        <v/>
      </c>
      <c r="Y68" s="175" t="n"/>
      <c r="Z68" s="3" t="n">
        <v>0.014</v>
      </c>
      <c r="AA68" s="178">
        <f>E68*Z68</f>
        <v/>
      </c>
      <c r="AC68" s="15" t="n">
        <v>8423224835791</v>
      </c>
    </row>
    <row r="69" ht="15.65" customHeight="1">
      <c r="A69" s="76" t="inlineStr">
        <is>
          <t>Brandy</t>
        </is>
      </c>
      <c r="B69" s="104" t="inlineStr">
        <is>
          <t>2-1463.150.41</t>
        </is>
      </c>
      <c r="C69" s="125" t="inlineStr">
        <is>
          <t>000463150004102</t>
        </is>
      </c>
      <c r="D69" s="9" t="inlineStr">
        <is>
          <t>咖啡色4</t>
        </is>
      </c>
      <c r="E69" s="165" t="n"/>
      <c r="F69" s="165" t="n"/>
      <c r="G69" s="76" t="n">
        <v>108</v>
      </c>
      <c r="H69" s="166">
        <f>E69/G69</f>
        <v/>
      </c>
      <c r="I69" s="76" t="n">
        <v>0.77</v>
      </c>
      <c r="J69" s="76" t="n">
        <v>0.37</v>
      </c>
      <c r="K69" s="76" t="n">
        <v>0.23</v>
      </c>
      <c r="L69" s="76" t="n">
        <v>22.5</v>
      </c>
      <c r="M69" s="167">
        <f>H69*I69*J69*K69</f>
        <v/>
      </c>
      <c r="N69" s="171" t="n">
        <v>1296</v>
      </c>
      <c r="O69" s="167">
        <f>E69/N69</f>
        <v/>
      </c>
      <c r="P69" s="157">
        <f>H69*L69</f>
        <v/>
      </c>
      <c r="Q69" s="168">
        <f>S69*0.85</f>
        <v/>
      </c>
      <c r="R69" s="132">
        <f>E69*Q69</f>
        <v/>
      </c>
      <c r="S69" s="168" t="n">
        <v>1.014</v>
      </c>
      <c r="T69" s="178" t="n">
        <v>4.2</v>
      </c>
      <c r="U69" s="157">
        <f>E69*T69</f>
        <v/>
      </c>
      <c r="W69" s="169">
        <f>T69*1.17*1.18</f>
        <v/>
      </c>
      <c r="X69" s="157">
        <f>E69*W69</f>
        <v/>
      </c>
      <c r="AC69" s="15" t="n">
        <v>8423224835838</v>
      </c>
    </row>
    <row r="70" ht="15.65" customHeight="1">
      <c r="A70" s="107" t="inlineStr">
        <is>
          <t>MATT GOLD</t>
        </is>
      </c>
      <c r="B70" s="104" t="inlineStr">
        <is>
          <t>2-1463.150.34</t>
        </is>
      </c>
      <c r="C70" s="163" t="inlineStr">
        <is>
          <t>000463150003402</t>
        </is>
      </c>
      <c r="D70" s="9" t="inlineStr">
        <is>
          <t>土黄  5</t>
        </is>
      </c>
      <c r="E70" s="165" t="n"/>
      <c r="F70" s="165" t="n"/>
      <c r="G70" s="76" t="n">
        <v>108</v>
      </c>
      <c r="H70" s="166">
        <f>E70/G70</f>
        <v/>
      </c>
      <c r="I70" s="76" t="n">
        <v>0.77</v>
      </c>
      <c r="J70" s="76" t="n">
        <v>0.37</v>
      </c>
      <c r="K70" s="76" t="n">
        <v>0.23</v>
      </c>
      <c r="L70" s="76" t="n">
        <v>22.5</v>
      </c>
      <c r="M70" s="167">
        <f>H70*I70*J70*K70</f>
        <v/>
      </c>
      <c r="N70" s="171" t="n">
        <v>1296</v>
      </c>
      <c r="O70" s="167">
        <f>E70/N70</f>
        <v/>
      </c>
      <c r="P70" s="157">
        <f>H70*L70</f>
        <v/>
      </c>
      <c r="Q70" s="168">
        <f>S70*0.85</f>
        <v/>
      </c>
      <c r="R70" s="132">
        <f>E70*Q70</f>
        <v/>
      </c>
      <c r="S70" s="168" t="n">
        <v>1.014</v>
      </c>
      <c r="T70" s="178" t="n">
        <v>4.2</v>
      </c>
      <c r="U70" s="157">
        <f>E70*T70</f>
        <v/>
      </c>
      <c r="W70" s="169">
        <f>T70*1.17*1.18</f>
        <v/>
      </c>
      <c r="X70" s="157">
        <f>E70*W70</f>
        <v/>
      </c>
      <c r="AC70" s="15" t="n">
        <v>8423224835821</v>
      </c>
    </row>
    <row r="71" ht="15.65" customHeight="1">
      <c r="B71" s="104" t="n"/>
      <c r="C71" s="163" t="n"/>
      <c r="D71" s="9" t="n"/>
      <c r="E71" s="165" t="n"/>
      <c r="F71" s="165" t="n"/>
      <c r="H71" s="166" t="n"/>
      <c r="N71" s="171" t="n"/>
      <c r="Q71" s="168" t="n"/>
      <c r="R71" s="132" t="n"/>
      <c r="S71" s="168" t="n"/>
      <c r="T71" s="3" t="n"/>
      <c r="U71" s="157" t="n"/>
      <c r="W71" s="169">
        <f>T71*1.17*1.18</f>
        <v/>
      </c>
      <c r="X71" s="157">
        <f>E71*W71</f>
        <v/>
      </c>
      <c r="AC71" s="15" t="n"/>
    </row>
    <row r="72" ht="15.65" customHeight="1">
      <c r="A72" s="76" t="inlineStr">
        <is>
          <t>弹簧-150</t>
        </is>
      </c>
      <c r="B72" s="104" t="inlineStr">
        <is>
          <t>2-1464.150.01</t>
        </is>
      </c>
      <c r="C72" s="163" t="n"/>
      <c r="D72" s="9" t="inlineStr">
        <is>
          <t>白色</t>
        </is>
      </c>
      <c r="E72" s="165" t="n"/>
      <c r="F72" s="165" t="n"/>
      <c r="G72" s="76" t="n">
        <v>108</v>
      </c>
      <c r="H72" s="166">
        <f>E72/G72</f>
        <v/>
      </c>
      <c r="I72" s="76" t="n">
        <v>0.71</v>
      </c>
      <c r="J72" s="76" t="n">
        <v>0.46</v>
      </c>
      <c r="K72" s="76" t="n">
        <v>0.27</v>
      </c>
      <c r="L72" s="76" t="n">
        <v>17.5</v>
      </c>
      <c r="M72" s="167">
        <f>H72*I72*J72*K72</f>
        <v/>
      </c>
      <c r="N72" s="171" t="n">
        <v>1296</v>
      </c>
      <c r="O72" s="167">
        <f>E72/N72</f>
        <v/>
      </c>
      <c r="P72" s="157">
        <f>H72*L72</f>
        <v/>
      </c>
      <c r="Q72" s="168">
        <f>S72*0.85</f>
        <v/>
      </c>
      <c r="R72" s="132">
        <f>E72*Q72</f>
        <v/>
      </c>
      <c r="S72" s="168" t="n">
        <v>0.874</v>
      </c>
      <c r="T72" s="3" t="n">
        <v>3.76</v>
      </c>
      <c r="U72" s="157">
        <f>E72*T72</f>
        <v/>
      </c>
      <c r="W72" s="169">
        <f>T72*1.17*1.18</f>
        <v/>
      </c>
      <c r="X72" s="157">
        <f>E72*W72</f>
        <v/>
      </c>
      <c r="AC72" s="15" t="n">
        <v>8423224807873</v>
      </c>
    </row>
    <row r="73" ht="15.65" customHeight="1">
      <c r="B73" s="104" t="inlineStr">
        <is>
          <t>2-1464.150.38</t>
        </is>
      </c>
      <c r="C73" s="163" t="n"/>
      <c r="D73" s="9" t="inlineStr">
        <is>
          <t>银灰色</t>
        </is>
      </c>
      <c r="E73" s="165" t="n"/>
      <c r="F73" s="165" t="n"/>
      <c r="G73" s="76" t="n">
        <v>108</v>
      </c>
      <c r="H73" s="166">
        <f>E73/G73</f>
        <v/>
      </c>
      <c r="I73" s="76" t="n">
        <v>0.71</v>
      </c>
      <c r="J73" s="76" t="n">
        <v>0.46</v>
      </c>
      <c r="K73" s="76" t="n">
        <v>0.27</v>
      </c>
      <c r="L73" s="76" t="n">
        <v>17.5</v>
      </c>
      <c r="M73" s="167">
        <f>H73*I73*J73*K73</f>
        <v/>
      </c>
      <c r="N73" s="171" t="n">
        <v>1296</v>
      </c>
      <c r="O73" s="167">
        <f>E73/N73</f>
        <v/>
      </c>
      <c r="P73" s="157">
        <f>H73*L73</f>
        <v/>
      </c>
      <c r="Q73" s="168">
        <f>S73*0.85</f>
        <v/>
      </c>
      <c r="R73" s="132">
        <f>E73*Q73</f>
        <v/>
      </c>
      <c r="S73" s="168" t="n">
        <v>0.874</v>
      </c>
      <c r="T73" s="3" t="n">
        <v>3.76</v>
      </c>
      <c r="U73" s="157">
        <f>E73*T73</f>
        <v/>
      </c>
      <c r="W73" s="169">
        <f>T73*1.17*1.18</f>
        <v/>
      </c>
      <c r="X73" s="157">
        <f>E73*W73</f>
        <v/>
      </c>
      <c r="Y73" s="167">
        <f>SUM(Y32:Y72)</f>
        <v/>
      </c>
      <c r="AA73" s="178">
        <f>SUM(AA32:AA72)</f>
        <v/>
      </c>
      <c r="AC73" s="15" t="n">
        <v>8423224784693</v>
      </c>
    </row>
    <row r="74" ht="15.65" customHeight="1">
      <c r="B74" s="104" t="inlineStr">
        <is>
          <t>2-1464.150.16</t>
        </is>
      </c>
      <c r="C74" s="163" t="n"/>
      <c r="D74" s="9" t="inlineStr">
        <is>
          <t>橙色</t>
        </is>
      </c>
      <c r="E74" s="165" t="n"/>
      <c r="F74" s="165" t="n"/>
      <c r="G74" s="76" t="n">
        <v>108</v>
      </c>
      <c r="H74" s="166">
        <f>E74/G74</f>
        <v/>
      </c>
      <c r="I74" s="76" t="n">
        <v>0.71</v>
      </c>
      <c r="J74" s="76" t="n">
        <v>0.46</v>
      </c>
      <c r="K74" s="76" t="n">
        <v>0.27</v>
      </c>
      <c r="L74" s="76" t="n">
        <v>17.5</v>
      </c>
      <c r="M74" s="167">
        <f>H74*I74*J74*K74</f>
        <v/>
      </c>
      <c r="N74" s="171" t="n">
        <v>1296</v>
      </c>
      <c r="O74" s="167">
        <f>E74/N74</f>
        <v/>
      </c>
      <c r="P74" s="157">
        <f>H74*L74</f>
        <v/>
      </c>
      <c r="Q74" s="168">
        <f>S74*0.85</f>
        <v/>
      </c>
      <c r="R74" s="132">
        <f>E74*Q74</f>
        <v/>
      </c>
      <c r="S74" s="168" t="n">
        <v>0.886</v>
      </c>
      <c r="T74" s="3" t="n">
        <v>3.82</v>
      </c>
      <c r="U74" s="157">
        <f>E74*T74</f>
        <v/>
      </c>
      <c r="W74" s="169">
        <f>T74*1.17*1.18</f>
        <v/>
      </c>
      <c r="X74" s="157">
        <f>E74*W74</f>
        <v/>
      </c>
      <c r="AC74" s="15" t="n">
        <v>8423224807897</v>
      </c>
    </row>
    <row r="75" ht="15.65" customHeight="1">
      <c r="A75" s="9" t="inlineStr">
        <is>
          <t>新</t>
        </is>
      </c>
      <c r="B75" s="104" t="inlineStr">
        <is>
          <t>2-1464.150.07</t>
        </is>
      </c>
      <c r="C75" s="125" t="inlineStr">
        <is>
          <t>000464150007202</t>
        </is>
      </c>
      <c r="D75" s="9" t="inlineStr">
        <is>
          <t>淡黄绿色</t>
        </is>
      </c>
      <c r="E75" s="165" t="n"/>
      <c r="F75" s="165" t="n"/>
      <c r="G75" s="76" t="n">
        <v>108</v>
      </c>
      <c r="H75" s="166">
        <f>E75/G75</f>
        <v/>
      </c>
      <c r="I75" s="76" t="n">
        <v>0.71</v>
      </c>
      <c r="J75" s="76" t="n">
        <v>0.46</v>
      </c>
      <c r="K75" s="76" t="n">
        <v>0.27</v>
      </c>
      <c r="L75" s="76" t="n">
        <v>17.5</v>
      </c>
      <c r="M75" s="167">
        <f>H75*I75*J75*K75</f>
        <v/>
      </c>
      <c r="N75" s="171" t="n">
        <v>1296</v>
      </c>
      <c r="O75" s="167">
        <f>E75/N75</f>
        <v/>
      </c>
      <c r="P75" s="157">
        <f>H75*L75</f>
        <v/>
      </c>
      <c r="Q75" s="168">
        <f>S75*0.85</f>
        <v/>
      </c>
      <c r="R75" s="132">
        <f>E75*Q75</f>
        <v/>
      </c>
      <c r="S75" s="168" t="n">
        <v>0.886</v>
      </c>
      <c r="T75" s="3" t="n">
        <v>3.82</v>
      </c>
      <c r="U75" s="157">
        <f>E75*T75</f>
        <v/>
      </c>
      <c r="W75" s="169">
        <f>T75*1.17*1.18</f>
        <v/>
      </c>
      <c r="X75" s="157">
        <f>E75*W75</f>
        <v/>
      </c>
      <c r="AC75" s="15" t="n">
        <v>8423224812983</v>
      </c>
    </row>
    <row r="76" ht="15.65" customHeight="1">
      <c r="A76" s="9" t="inlineStr">
        <is>
          <t>新</t>
        </is>
      </c>
      <c r="B76" s="104" t="inlineStr">
        <is>
          <t>2-1464.150.04</t>
        </is>
      </c>
      <c r="C76" s="163" t="inlineStr">
        <is>
          <t>000464150000402</t>
        </is>
      </c>
      <c r="D76" s="9" t="inlineStr">
        <is>
          <t>红色</t>
        </is>
      </c>
      <c r="E76" s="165" t="n"/>
      <c r="F76" s="165" t="n"/>
      <c r="G76" s="76" t="n">
        <v>108</v>
      </c>
      <c r="H76" s="166">
        <f>E76/G76</f>
        <v/>
      </c>
      <c r="I76" s="76" t="n">
        <v>0.71</v>
      </c>
      <c r="J76" s="76" t="n">
        <v>0.46</v>
      </c>
      <c r="K76" s="76" t="n">
        <v>0.27</v>
      </c>
      <c r="L76" s="76" t="n">
        <v>17.5</v>
      </c>
      <c r="M76" s="167">
        <f>H76*I76*J76*K76</f>
        <v/>
      </c>
      <c r="N76" s="171" t="n">
        <v>1296</v>
      </c>
      <c r="O76" s="167">
        <f>E76/N76</f>
        <v/>
      </c>
      <c r="P76" s="157">
        <f>H76*L76</f>
        <v/>
      </c>
      <c r="Q76" s="168">
        <f>S76*0.85</f>
        <v/>
      </c>
      <c r="R76" s="132">
        <f>E76*Q76</f>
        <v/>
      </c>
      <c r="S76" s="168" t="n">
        <v>0.886</v>
      </c>
      <c r="T76" s="3" t="n">
        <v>3.82</v>
      </c>
      <c r="U76" s="157">
        <f>E76*T76</f>
        <v/>
      </c>
      <c r="W76" s="169">
        <f>T76*1.17*1.18</f>
        <v/>
      </c>
      <c r="X76" s="157">
        <f>E76*W76</f>
        <v/>
      </c>
      <c r="AC76" s="15" t="n">
        <v>8423224807880</v>
      </c>
    </row>
    <row r="77" ht="15.65" customHeight="1">
      <c r="B77" s="104" t="inlineStr">
        <is>
          <t>2-1464.150.56</t>
        </is>
      </c>
      <c r="C77" s="163" t="inlineStr">
        <is>
          <t>000464150005602</t>
        </is>
      </c>
      <c r="D77" s="9" t="inlineStr">
        <is>
          <t>苹果绿</t>
        </is>
      </c>
      <c r="E77" s="165" t="n"/>
      <c r="F77" s="165" t="n"/>
      <c r="G77" s="76" t="n">
        <v>108</v>
      </c>
      <c r="H77" s="166">
        <f>E77/G77</f>
        <v/>
      </c>
      <c r="I77" s="76" t="n">
        <v>0.71</v>
      </c>
      <c r="J77" s="76" t="n">
        <v>0.46</v>
      </c>
      <c r="K77" s="76" t="n">
        <v>0.27</v>
      </c>
      <c r="L77" s="76" t="n">
        <v>17.5</v>
      </c>
      <c r="M77" s="167">
        <f>H77*I77*J77*K77</f>
        <v/>
      </c>
      <c r="N77" s="171" t="n">
        <v>1296</v>
      </c>
      <c r="O77" s="167">
        <f>E77/N77</f>
        <v/>
      </c>
      <c r="P77" s="157">
        <f>H77*L77</f>
        <v/>
      </c>
      <c r="Q77" s="168">
        <f>S77*0.85</f>
        <v/>
      </c>
      <c r="R77" s="132">
        <f>E77*Q77</f>
        <v/>
      </c>
      <c r="S77" s="168" t="n">
        <v>0.886</v>
      </c>
      <c r="T77" s="3" t="n">
        <v>3.82</v>
      </c>
      <c r="U77" s="157">
        <f>E77*T77</f>
        <v/>
      </c>
      <c r="W77" s="169">
        <f>T77*1.17*1.18</f>
        <v/>
      </c>
      <c r="X77" s="157">
        <f>E77*W77</f>
        <v/>
      </c>
      <c r="AC77" s="15" t="n">
        <v>8423224807903</v>
      </c>
    </row>
    <row r="78" ht="15.65" customHeight="1">
      <c r="B78" s="104" t="inlineStr">
        <is>
          <t>2-1464.150.61</t>
        </is>
      </c>
      <c r="C78" s="125" t="inlineStr">
        <is>
          <t>000464150006102</t>
        </is>
      </c>
      <c r="D78" s="9" t="inlineStr">
        <is>
          <t>砂黑</t>
        </is>
      </c>
      <c r="E78" s="165" t="n"/>
      <c r="F78" s="165" t="n"/>
      <c r="G78" s="76" t="n">
        <v>108</v>
      </c>
      <c r="H78" s="166">
        <f>E78/G78</f>
        <v/>
      </c>
      <c r="I78" s="76" t="n">
        <v>0.71</v>
      </c>
      <c r="J78" s="76" t="n">
        <v>0.46</v>
      </c>
      <c r="K78" s="76" t="n">
        <v>0.27</v>
      </c>
      <c r="L78" s="76" t="n">
        <v>17.5</v>
      </c>
      <c r="M78" s="167">
        <f>H78*I78*J78*K78</f>
        <v/>
      </c>
      <c r="N78" s="171" t="n">
        <v>1296</v>
      </c>
      <c r="O78" s="167">
        <f>E78/N78</f>
        <v/>
      </c>
      <c r="P78" s="157">
        <f>H78*L78</f>
        <v/>
      </c>
      <c r="Q78" s="168">
        <f>S78*0.85</f>
        <v/>
      </c>
      <c r="R78" s="132">
        <f>E78*Q78</f>
        <v/>
      </c>
      <c r="S78" s="168" t="n">
        <v>0.886</v>
      </c>
      <c r="T78" s="3" t="n">
        <v>3.82</v>
      </c>
      <c r="U78" s="157">
        <f>E78*T78</f>
        <v/>
      </c>
      <c r="W78" s="169">
        <f>T78*1.17*1.18</f>
        <v/>
      </c>
      <c r="X78" s="157">
        <f>E78*W78</f>
        <v/>
      </c>
      <c r="AC78" s="15" t="n">
        <v>8423224784679</v>
      </c>
    </row>
    <row r="79" ht="15.65" customHeight="1">
      <c r="B79" s="104" t="inlineStr">
        <is>
          <t>2-1464.150.59</t>
        </is>
      </c>
      <c r="C79" s="163" t="n"/>
      <c r="D79" s="9" t="inlineStr">
        <is>
          <t>海蓝</t>
        </is>
      </c>
      <c r="E79" s="165" t="n"/>
      <c r="F79" s="165" t="n"/>
      <c r="G79" s="76" t="n">
        <v>108</v>
      </c>
      <c r="H79" s="166">
        <f>E79/G79</f>
        <v/>
      </c>
      <c r="I79" s="76" t="n">
        <v>0.71</v>
      </c>
      <c r="J79" s="76" t="n">
        <v>0.46</v>
      </c>
      <c r="K79" s="76" t="n">
        <v>0.27</v>
      </c>
      <c r="L79" s="76" t="n">
        <v>17.5</v>
      </c>
      <c r="M79" s="167">
        <f>H79*I79*J79*K79</f>
        <v/>
      </c>
      <c r="N79" s="171" t="n">
        <v>1296</v>
      </c>
      <c r="O79" s="167">
        <f>E79/N79</f>
        <v/>
      </c>
      <c r="P79" s="157">
        <f>H79*L79</f>
        <v/>
      </c>
      <c r="Q79" s="168">
        <f>S79*0.85</f>
        <v/>
      </c>
      <c r="R79" s="132">
        <f>E79*Q79</f>
        <v/>
      </c>
      <c r="S79" s="168" t="n">
        <v>1.231</v>
      </c>
      <c r="T79" s="3" t="n">
        <v>5.12</v>
      </c>
      <c r="U79" s="157">
        <f>E79*T79</f>
        <v/>
      </c>
      <c r="W79" s="169">
        <f>T79*1.17*1.18</f>
        <v/>
      </c>
      <c r="X79" s="157">
        <f>E79*W79</f>
        <v/>
      </c>
      <c r="AC79" s="15" t="n">
        <v>8423224807910</v>
      </c>
    </row>
    <row r="80" ht="15.65" customHeight="1">
      <c r="B80" s="104" t="n"/>
      <c r="C80" s="163" t="n"/>
      <c r="D80" s="9" t="n"/>
      <c r="E80" s="165" t="n"/>
      <c r="F80" s="165" t="n"/>
      <c r="H80" s="166" t="n"/>
      <c r="N80" s="171" t="n"/>
      <c r="Q80" s="168" t="n"/>
      <c r="R80" s="132" t="n"/>
      <c r="S80" s="168" t="n"/>
      <c r="T80" s="3" t="n"/>
      <c r="U80" s="157" t="n"/>
      <c r="W80" s="169">
        <f>T80*1.17*1.18</f>
        <v/>
      </c>
      <c r="X80" s="157">
        <f>E80*W80</f>
        <v/>
      </c>
      <c r="AC80" s="15" t="n"/>
    </row>
    <row r="81" ht="15.65" customHeight="1">
      <c r="A81" s="76" t="inlineStr">
        <is>
          <t>三椭圆孔-200</t>
        </is>
      </c>
      <c r="B81" s="104" t="inlineStr">
        <is>
          <t>2-1465.200.R</t>
        </is>
      </c>
      <c r="C81" s="125" t="inlineStr">
        <is>
          <t>000465200000000</t>
        </is>
      </c>
      <c r="D81" s="76" t="inlineStr">
        <is>
          <t>简装毛胚</t>
        </is>
      </c>
      <c r="E81" s="165" t="n"/>
      <c r="F81" s="165" t="n"/>
      <c r="G81" s="76" t="n">
        <v>87</v>
      </c>
      <c r="H81" s="157">
        <f>E81/G81</f>
        <v/>
      </c>
      <c r="I81" s="76" t="n">
        <v>0.79</v>
      </c>
      <c r="J81" s="76" t="n">
        <v>0.46</v>
      </c>
      <c r="K81" s="76" t="n">
        <v>0.28</v>
      </c>
      <c r="L81" s="106" t="n">
        <v>29</v>
      </c>
      <c r="M81" s="167">
        <f>H81*I81*J81*K81</f>
        <v/>
      </c>
      <c r="N81" s="171" t="n">
        <v>864</v>
      </c>
      <c r="O81" s="167">
        <f>E81/N81</f>
        <v/>
      </c>
      <c r="P81" s="157">
        <f>H81*L81</f>
        <v/>
      </c>
      <c r="Q81" s="168">
        <f>S81*0.85</f>
        <v/>
      </c>
      <c r="R81" s="132">
        <f>E81*Q81</f>
        <v/>
      </c>
      <c r="S81" s="168" t="n">
        <v>1.004</v>
      </c>
      <c r="T81" s="19" t="n">
        <v>4.8</v>
      </c>
      <c r="U81" s="157">
        <f>E81*T81</f>
        <v/>
      </c>
      <c r="W81" s="169">
        <f>T81*1.17*1.18</f>
        <v/>
      </c>
      <c r="X81" s="157">
        <f>E81*W81</f>
        <v/>
      </c>
      <c r="AC81" s="15" t="n"/>
    </row>
    <row r="82" ht="15.65" customHeight="1">
      <c r="B82" s="104" t="inlineStr">
        <is>
          <t>2-1465.200.01</t>
        </is>
      </c>
      <c r="C82" s="163" t="n"/>
      <c r="D82" s="9" t="inlineStr">
        <is>
          <t>白色</t>
        </is>
      </c>
      <c r="E82" s="165" t="n"/>
      <c r="F82" s="165" t="n"/>
      <c r="G82" s="76" t="n">
        <v>108</v>
      </c>
      <c r="H82" s="166">
        <f>E82/G82</f>
        <v/>
      </c>
      <c r="I82" s="76" t="n">
        <v>0.79</v>
      </c>
      <c r="J82" s="76" t="n">
        <v>0.46</v>
      </c>
      <c r="K82" s="76" t="n">
        <v>0.28</v>
      </c>
      <c r="L82" s="76" t="n">
        <v>23</v>
      </c>
      <c r="M82" s="167">
        <f>H82*I82*J82*K82</f>
        <v/>
      </c>
      <c r="N82" s="171" t="n">
        <v>864</v>
      </c>
      <c r="O82" s="167">
        <f>E82/N82</f>
        <v/>
      </c>
      <c r="P82" s="157">
        <f>H82*L82</f>
        <v/>
      </c>
      <c r="Q82" s="168">
        <f>S82*0.85</f>
        <v/>
      </c>
      <c r="R82" s="132">
        <f>E82*Q82</f>
        <v/>
      </c>
      <c r="S82" s="168" t="n">
        <v>1.194</v>
      </c>
      <c r="T82" s="3" t="n">
        <v>5.09</v>
      </c>
      <c r="U82" s="157">
        <f>E82*T82</f>
        <v/>
      </c>
      <c r="W82" s="169">
        <f>T82*1.17*1.18</f>
        <v/>
      </c>
      <c r="X82" s="157">
        <f>E82*W82</f>
        <v/>
      </c>
      <c r="AC82" s="15" t="n">
        <v>8423224785287</v>
      </c>
    </row>
    <row r="83" ht="15.65" customHeight="1">
      <c r="B83" s="104" t="inlineStr">
        <is>
          <t>2-1465.200.38</t>
        </is>
      </c>
      <c r="C83" s="163" t="n"/>
      <c r="D83" s="9" t="inlineStr">
        <is>
          <t>银灰色</t>
        </is>
      </c>
      <c r="E83" s="165" t="n"/>
      <c r="F83" s="165" t="n"/>
      <c r="G83" s="76" t="n">
        <v>108</v>
      </c>
      <c r="H83" s="166">
        <f>E83/G83</f>
        <v/>
      </c>
      <c r="I83" s="76" t="n">
        <v>0.79</v>
      </c>
      <c r="J83" s="76" t="n">
        <v>0.46</v>
      </c>
      <c r="K83" s="76" t="n">
        <v>0.28</v>
      </c>
      <c r="L83" s="76" t="n">
        <v>23</v>
      </c>
      <c r="M83" s="167">
        <f>H83*I83*J83*K83</f>
        <v/>
      </c>
      <c r="N83" s="171" t="n">
        <v>864</v>
      </c>
      <c r="O83" s="167">
        <f>E83/N83</f>
        <v/>
      </c>
      <c r="P83" s="157">
        <f>H83*L83</f>
        <v/>
      </c>
      <c r="Q83" s="168">
        <f>S83*0.85</f>
        <v/>
      </c>
      <c r="R83" s="132">
        <f>E83*Q83</f>
        <v/>
      </c>
      <c r="S83" s="168" t="n">
        <v>1.194</v>
      </c>
      <c r="T83" s="3" t="n">
        <v>5.09</v>
      </c>
      <c r="U83" s="157">
        <f>E83*T83</f>
        <v/>
      </c>
      <c r="W83" s="169">
        <f>T83*1.17*1.18</f>
        <v/>
      </c>
      <c r="X83" s="157">
        <f>E83*W83</f>
        <v/>
      </c>
      <c r="AC83" s="15" t="n">
        <v>8423224784815</v>
      </c>
    </row>
    <row r="84" ht="15.65" customHeight="1">
      <c r="B84" s="104" t="inlineStr">
        <is>
          <t>2-1465.200.56</t>
        </is>
      </c>
      <c r="C84" s="163" t="n"/>
      <c r="D84" s="9" t="inlineStr">
        <is>
          <t>苹果绿</t>
        </is>
      </c>
      <c r="E84" s="165" t="n"/>
      <c r="F84" s="165" t="n"/>
      <c r="G84" s="76" t="n">
        <v>108</v>
      </c>
      <c r="H84" s="166">
        <f>E84/G84</f>
        <v/>
      </c>
      <c r="I84" s="76" t="n">
        <v>0.79</v>
      </c>
      <c r="J84" s="76" t="n">
        <v>0.46</v>
      </c>
      <c r="K84" s="76" t="n">
        <v>0.28</v>
      </c>
      <c r="L84" s="76" t="n">
        <v>23</v>
      </c>
      <c r="M84" s="167">
        <f>H84*I84*J84*K84</f>
        <v/>
      </c>
      <c r="N84" s="171" t="n">
        <v>864</v>
      </c>
      <c r="O84" s="167">
        <f>E84/N84</f>
        <v/>
      </c>
      <c r="P84" s="157">
        <f>H84*L84</f>
        <v/>
      </c>
      <c r="Q84" s="168">
        <f>S84*0.85</f>
        <v/>
      </c>
      <c r="R84" s="132">
        <f>E84*Q84</f>
        <v/>
      </c>
      <c r="S84" s="168" t="n">
        <v>1.207</v>
      </c>
      <c r="T84" s="3" t="n">
        <v>5.18</v>
      </c>
      <c r="U84" s="157">
        <f>E84*T84</f>
        <v/>
      </c>
      <c r="W84" s="169">
        <f>T84*1.17*1.18</f>
        <v/>
      </c>
      <c r="X84" s="157">
        <f>E84*W84</f>
        <v/>
      </c>
      <c r="AC84" s="15" t="n">
        <v>8423224807958</v>
      </c>
    </row>
    <row r="85" ht="15.65" customHeight="1">
      <c r="B85" s="104" t="inlineStr">
        <is>
          <t>2-1465.200.16</t>
        </is>
      </c>
      <c r="C85" s="163" t="n"/>
      <c r="D85" s="9" t="inlineStr">
        <is>
          <t>橙色</t>
        </is>
      </c>
      <c r="E85" s="165" t="n"/>
      <c r="F85" s="165" t="n"/>
      <c r="G85" s="76" t="n">
        <v>108</v>
      </c>
      <c r="H85" s="166">
        <f>E85/G85</f>
        <v/>
      </c>
      <c r="I85" s="76" t="n">
        <v>0.79</v>
      </c>
      <c r="J85" s="76" t="n">
        <v>0.46</v>
      </c>
      <c r="K85" s="76" t="n">
        <v>0.28</v>
      </c>
      <c r="L85" s="76" t="n">
        <v>23</v>
      </c>
      <c r="M85" s="167">
        <f>H85*I85*J85*K85</f>
        <v/>
      </c>
      <c r="N85" s="171" t="n">
        <v>864</v>
      </c>
      <c r="O85" s="167">
        <f>E85/N85</f>
        <v/>
      </c>
      <c r="P85" s="157">
        <f>H85*L85</f>
        <v/>
      </c>
      <c r="Q85" s="168">
        <f>S85*0.85</f>
        <v/>
      </c>
      <c r="R85" s="132">
        <f>E85*Q85</f>
        <v/>
      </c>
      <c r="S85" s="168" t="n">
        <v>1.207</v>
      </c>
      <c r="T85" s="3" t="n">
        <v>5.18</v>
      </c>
      <c r="U85" s="157">
        <f>E85*T85</f>
        <v/>
      </c>
      <c r="W85" s="169">
        <f>T85*1.17*1.18</f>
        <v/>
      </c>
      <c r="X85" s="157">
        <f>E85*W85</f>
        <v/>
      </c>
      <c r="AC85" s="15" t="n">
        <v>8423224807941</v>
      </c>
    </row>
    <row r="86" ht="15.65" customHeight="1">
      <c r="A86" s="9" t="n"/>
      <c r="B86" s="104" t="inlineStr">
        <is>
          <t>2-1465.200.69</t>
        </is>
      </c>
      <c r="C86" s="163" t="n"/>
      <c r="D86" s="9" t="inlineStr">
        <is>
          <t>天蓝</t>
        </is>
      </c>
      <c r="E86" s="165" t="n"/>
      <c r="F86" s="165" t="n"/>
      <c r="G86" s="76" t="n">
        <v>108</v>
      </c>
      <c r="H86" s="166">
        <f>E86/G86</f>
        <v/>
      </c>
      <c r="I86" s="76" t="n">
        <v>0.79</v>
      </c>
      <c r="J86" s="76" t="n">
        <v>0.46</v>
      </c>
      <c r="K86" s="76" t="n">
        <v>0.28</v>
      </c>
      <c r="L86" s="76" t="n">
        <v>23</v>
      </c>
      <c r="M86" s="167">
        <f>H86*I86*J86*K86</f>
        <v/>
      </c>
      <c r="N86" s="171" t="n">
        <v>864</v>
      </c>
      <c r="O86" s="167">
        <f>E86/N86</f>
        <v/>
      </c>
      <c r="P86" s="157">
        <f>H86*L86</f>
        <v/>
      </c>
      <c r="Q86" s="168">
        <f>S86*0.85</f>
        <v/>
      </c>
      <c r="R86" s="132">
        <f>E86*Q86</f>
        <v/>
      </c>
      <c r="S86" s="168" t="n">
        <v>1.207</v>
      </c>
      <c r="T86" s="3" t="n">
        <v>5.18</v>
      </c>
      <c r="U86" s="157">
        <f>E86*T86</f>
        <v/>
      </c>
      <c r="W86" s="169">
        <f>T86*1.17*1.18</f>
        <v/>
      </c>
      <c r="X86" s="157">
        <f>E86*W86</f>
        <v/>
      </c>
      <c r="AC86" s="15" t="n">
        <v>8423224807972</v>
      </c>
    </row>
    <row r="87" ht="15.65" customHeight="1">
      <c r="A87" s="9" t="n"/>
      <c r="B87" s="104" t="inlineStr">
        <is>
          <t>2-1465.200.04</t>
        </is>
      </c>
      <c r="C87" s="163" t="inlineStr">
        <is>
          <t>000465200000402</t>
        </is>
      </c>
      <c r="D87" s="9" t="inlineStr">
        <is>
          <t>红色</t>
        </is>
      </c>
      <c r="E87" s="165" t="n"/>
      <c r="F87" s="165" t="n"/>
      <c r="G87" s="76" t="n">
        <v>108</v>
      </c>
      <c r="H87" s="166">
        <f>E87/G87</f>
        <v/>
      </c>
      <c r="I87" s="76" t="n">
        <v>0.79</v>
      </c>
      <c r="J87" s="76" t="n">
        <v>0.46</v>
      </c>
      <c r="K87" s="76" t="n">
        <v>0.28</v>
      </c>
      <c r="L87" s="76" t="n">
        <v>23</v>
      </c>
      <c r="M87" s="167">
        <f>H87*I87*J87*K87</f>
        <v/>
      </c>
      <c r="N87" s="171" t="n">
        <v>864</v>
      </c>
      <c r="O87" s="167">
        <f>E87/N87</f>
        <v/>
      </c>
      <c r="P87" s="157">
        <f>H87*L87</f>
        <v/>
      </c>
      <c r="Q87" s="168">
        <f>S87*0.85</f>
        <v/>
      </c>
      <c r="R87" s="132">
        <f>E87*Q87</f>
        <v/>
      </c>
      <c r="S87" s="168" t="n">
        <v>1.207</v>
      </c>
      <c r="T87" s="3" t="n">
        <v>5.18</v>
      </c>
      <c r="U87" s="157">
        <f>E87*T87</f>
        <v/>
      </c>
      <c r="W87" s="169">
        <f>T87*1.17*1.18</f>
        <v/>
      </c>
      <c r="X87" s="157">
        <f>E87*W87</f>
        <v/>
      </c>
      <c r="AC87" s="15" t="n">
        <v>8423224807927</v>
      </c>
    </row>
    <row r="88" ht="15.65" customHeight="1">
      <c r="A88" s="9" t="n"/>
      <c r="B88" s="104" t="inlineStr">
        <is>
          <t>2-1465.200.07</t>
        </is>
      </c>
      <c r="C88" s="163" t="n"/>
      <c r="D88" s="9" t="inlineStr">
        <is>
          <t>淡黄绿色</t>
        </is>
      </c>
      <c r="E88" s="165" t="n"/>
      <c r="F88" s="165" t="n"/>
      <c r="G88" s="76" t="n">
        <v>108</v>
      </c>
      <c r="H88" s="166">
        <f>E88/G88</f>
        <v/>
      </c>
      <c r="I88" s="76" t="n">
        <v>0.79</v>
      </c>
      <c r="J88" s="76" t="n">
        <v>0.46</v>
      </c>
      <c r="K88" s="76" t="n">
        <v>0.28</v>
      </c>
      <c r="L88" s="76" t="n">
        <v>23</v>
      </c>
      <c r="M88" s="167">
        <f>H88*I88*J88*K88</f>
        <v/>
      </c>
      <c r="N88" s="171" t="n">
        <v>864</v>
      </c>
      <c r="O88" s="167">
        <f>E88/N88</f>
        <v/>
      </c>
      <c r="P88" s="157">
        <f>H88*L88</f>
        <v/>
      </c>
      <c r="Q88" s="168">
        <f>S88*0.85</f>
        <v/>
      </c>
      <c r="R88" s="132">
        <f>E88*Q88</f>
        <v/>
      </c>
      <c r="S88" s="168" t="n">
        <v>1.207</v>
      </c>
      <c r="T88" s="3" t="n">
        <v>5.18</v>
      </c>
      <c r="U88" s="157">
        <f>E88*T88</f>
        <v/>
      </c>
      <c r="W88" s="169">
        <f>T88*1.17*1.18</f>
        <v/>
      </c>
      <c r="X88" s="157">
        <f>E88*W88</f>
        <v/>
      </c>
      <c r="AC88" s="15" t="n">
        <v>8423224807934</v>
      </c>
    </row>
    <row r="89" ht="15.65" customHeight="1">
      <c r="B89" s="104" t="n"/>
      <c r="C89" s="163" t="n"/>
      <c r="D89" s="9" t="n"/>
      <c r="E89" s="165" t="n"/>
      <c r="F89" s="165" t="n"/>
      <c r="H89" s="166" t="n"/>
      <c r="N89" s="171" t="n"/>
      <c r="Q89" s="168" t="n"/>
      <c r="R89" s="132" t="n"/>
      <c r="S89" s="168" t="n"/>
      <c r="T89" s="3" t="n"/>
      <c r="U89" s="157" t="n"/>
      <c r="W89" s="169">
        <f>T89*1.17*1.18</f>
        <v/>
      </c>
      <c r="X89" s="157">
        <f>E89*W89</f>
        <v/>
      </c>
      <c r="AC89" s="15" t="n"/>
    </row>
    <row r="90" ht="15.65" customHeight="1">
      <c r="A90" s="9" t="inlineStr">
        <is>
          <t>四斜槽孔-200</t>
        </is>
      </c>
      <c r="B90" s="104" t="inlineStr">
        <is>
          <t>2-1466.200.01</t>
        </is>
      </c>
      <c r="C90" s="163" t="n"/>
      <c r="D90" s="9" t="inlineStr">
        <is>
          <t>白色</t>
        </is>
      </c>
      <c r="E90" s="165" t="n"/>
      <c r="F90" s="165" t="n"/>
      <c r="G90" s="76" t="n">
        <v>108</v>
      </c>
      <c r="H90" s="166">
        <f>E90/G90</f>
        <v/>
      </c>
      <c r="I90" s="76" t="n">
        <v>0.79</v>
      </c>
      <c r="J90" s="76" t="n">
        <v>0.46</v>
      </c>
      <c r="K90" s="76" t="n">
        <v>0.28</v>
      </c>
      <c r="L90" s="76" t="n">
        <v>33</v>
      </c>
      <c r="M90" s="167">
        <f>H90*I90*J90*K90</f>
        <v/>
      </c>
      <c r="N90" s="171" t="n">
        <v>864</v>
      </c>
      <c r="O90" s="167">
        <f>E90/N90</f>
        <v/>
      </c>
      <c r="P90" s="157">
        <f>H90*L90</f>
        <v/>
      </c>
      <c r="Q90" s="168">
        <f>S90*0.85</f>
        <v/>
      </c>
      <c r="R90" s="132">
        <f>E90*Q90</f>
        <v/>
      </c>
      <c r="S90" s="168" t="n">
        <v>1.13</v>
      </c>
      <c r="T90" s="3" t="n">
        <v>4.84</v>
      </c>
      <c r="U90" s="157">
        <f>E90*T90</f>
        <v/>
      </c>
      <c r="W90" s="169">
        <f>T90*1.17*1.18</f>
        <v/>
      </c>
      <c r="X90" s="157">
        <f>E90*W90</f>
        <v/>
      </c>
      <c r="AC90" s="15" t="n">
        <v>8423224785294</v>
      </c>
    </row>
    <row r="91" ht="15.65" customHeight="1">
      <c r="A91" s="9" t="n"/>
      <c r="B91" s="104" t="inlineStr">
        <is>
          <t>2-1466.200.38</t>
        </is>
      </c>
      <c r="C91" s="125" t="inlineStr">
        <is>
          <t>000466200003802</t>
        </is>
      </c>
      <c r="D91" s="9" t="inlineStr">
        <is>
          <t>银灰色</t>
        </is>
      </c>
      <c r="E91" s="165" t="n"/>
      <c r="F91" s="165" t="n"/>
      <c r="G91" s="76" t="n">
        <v>108</v>
      </c>
      <c r="H91" s="166">
        <f>E91/G91</f>
        <v/>
      </c>
      <c r="I91" s="76" t="n">
        <v>0.79</v>
      </c>
      <c r="J91" s="76" t="n">
        <v>0.46</v>
      </c>
      <c r="K91" s="76" t="n">
        <v>0.28</v>
      </c>
      <c r="L91" s="76" t="n">
        <v>33</v>
      </c>
      <c r="M91" s="167">
        <f>H91*I91*J91*K91</f>
        <v/>
      </c>
      <c r="N91" s="171" t="n">
        <v>864</v>
      </c>
      <c r="O91" s="167">
        <f>E91/N91</f>
        <v/>
      </c>
      <c r="P91" s="157">
        <f>H91*L91</f>
        <v/>
      </c>
      <c r="Q91" s="168" t="n">
        <v>0.961</v>
      </c>
      <c r="R91" s="132">
        <f>E91*Q91</f>
        <v/>
      </c>
      <c r="S91" s="168" t="n">
        <v>1.13</v>
      </c>
      <c r="T91" s="3" t="n">
        <v>4.84</v>
      </c>
      <c r="U91" s="157">
        <f>E91*T91</f>
        <v/>
      </c>
      <c r="W91" s="169">
        <f>T91*1.17*1.18</f>
        <v/>
      </c>
      <c r="X91" s="157">
        <f>E91*W91</f>
        <v/>
      </c>
      <c r="AC91" s="15" t="n">
        <v>8423224784846</v>
      </c>
    </row>
    <row r="92" ht="15.65" customHeight="1">
      <c r="A92" s="9" t="n"/>
      <c r="B92" s="104" t="inlineStr">
        <is>
          <t>2-1466.200.61</t>
        </is>
      </c>
      <c r="C92" s="163" t="n"/>
      <c r="D92" s="9" t="inlineStr">
        <is>
          <t>砂黑</t>
        </is>
      </c>
      <c r="E92" s="165" t="n"/>
      <c r="F92" s="165" t="n"/>
      <c r="G92" s="76" t="n">
        <v>108</v>
      </c>
      <c r="H92" s="166">
        <f>E92/G92</f>
        <v/>
      </c>
      <c r="I92" s="76" t="n">
        <v>0.6</v>
      </c>
      <c r="J92" s="76" t="n">
        <v>0.46</v>
      </c>
      <c r="K92" s="76" t="n">
        <v>0.3</v>
      </c>
      <c r="L92" s="76" t="n">
        <v>22</v>
      </c>
      <c r="M92" s="167">
        <f>H92*I92*J92*K92</f>
        <v/>
      </c>
      <c r="N92" s="171" t="n">
        <v>864</v>
      </c>
      <c r="O92" s="167">
        <f>E92/N92</f>
        <v/>
      </c>
      <c r="P92" s="157">
        <f>H92*L92</f>
        <v/>
      </c>
      <c r="Q92" s="168" t="n"/>
      <c r="R92" s="132">
        <f>E92*Q92</f>
        <v/>
      </c>
      <c r="S92" s="168" t="n">
        <v>1.155</v>
      </c>
      <c r="T92" s="3" t="n">
        <v>4.92</v>
      </c>
      <c r="U92" s="157">
        <f>E92*T92</f>
        <v/>
      </c>
      <c r="W92" s="169">
        <f>T92*1.17*1.18</f>
        <v/>
      </c>
      <c r="X92" s="157">
        <f>E92*W92</f>
        <v/>
      </c>
      <c r="AC92" s="15" t="n">
        <v>8423224784822</v>
      </c>
    </row>
    <row r="93" ht="15.65" customHeight="1">
      <c r="A93" s="9" t="n"/>
      <c r="B93" s="104" t="n"/>
      <c r="C93" s="163" t="n"/>
      <c r="D93" s="9" t="n"/>
      <c r="E93" s="165" t="n"/>
      <c r="F93" s="165" t="n"/>
      <c r="H93" s="166" t="n"/>
      <c r="N93" s="171" t="n"/>
      <c r="Q93" s="168" t="n"/>
      <c r="R93" s="132" t="n"/>
      <c r="S93" s="168" t="n"/>
      <c r="T93" s="3" t="n"/>
      <c r="U93" s="157" t="n"/>
      <c r="W93" s="169">
        <f>T93*1.17*1.18</f>
        <v/>
      </c>
      <c r="X93" s="157">
        <f>E93*W93</f>
        <v/>
      </c>
      <c r="AC93" s="15" t="n"/>
    </row>
    <row r="94" ht="15.65" customHeight="1">
      <c r="A94" s="9" t="inlineStr">
        <is>
          <t>圆台阶-150</t>
        </is>
      </c>
      <c r="B94" s="104" t="inlineStr">
        <is>
          <t>2-1467.150.R</t>
        </is>
      </c>
      <c r="C94" s="125" t="inlineStr">
        <is>
          <t>000467150000000</t>
        </is>
      </c>
      <c r="D94" s="9" t="inlineStr">
        <is>
          <t>毛胚</t>
        </is>
      </c>
      <c r="E94" s="165" t="n"/>
      <c r="F94" s="165" t="n"/>
      <c r="G94" s="55" t="n">
        <v>108</v>
      </c>
      <c r="H94" s="166">
        <f>E94/G94</f>
        <v/>
      </c>
      <c r="I94" s="76" t="n">
        <v>0.77</v>
      </c>
      <c r="J94" s="76" t="n">
        <v>0.37</v>
      </c>
      <c r="K94" s="76" t="n">
        <v>0.23</v>
      </c>
      <c r="L94" s="76" t="n">
        <v>26.5</v>
      </c>
      <c r="M94" s="167">
        <f>H94*I94*J94*K94</f>
        <v/>
      </c>
      <c r="N94" s="171" t="n">
        <v>1296</v>
      </c>
      <c r="O94" s="167">
        <f>E94/N94</f>
        <v/>
      </c>
      <c r="P94" s="157">
        <f>H94*L94</f>
        <v/>
      </c>
      <c r="Q94" s="168" t="n">
        <v>0.587</v>
      </c>
      <c r="R94" s="132">
        <f>E94*Q94</f>
        <v/>
      </c>
      <c r="S94" s="168" t="n">
        <v>0.6909999999999999</v>
      </c>
      <c r="T94" s="19" t="n">
        <v>2.6</v>
      </c>
      <c r="U94" s="157">
        <f>E94*T94</f>
        <v/>
      </c>
      <c r="W94" s="169">
        <f>T94*1.17*1.18</f>
        <v/>
      </c>
      <c r="X94" s="157">
        <f>E94*W94</f>
        <v/>
      </c>
      <c r="AC94" s="15" t="n"/>
    </row>
    <row r="95" ht="15.65" customHeight="1">
      <c r="B95" s="104" t="inlineStr">
        <is>
          <t>2-1467.150.35</t>
        </is>
      </c>
      <c r="C95" s="125" t="inlineStr">
        <is>
          <t>000467150001102</t>
        </is>
      </c>
      <c r="D95" s="9" t="inlineStr">
        <is>
          <t>棕色</t>
        </is>
      </c>
      <c r="E95" s="165" t="n"/>
      <c r="F95" s="165" t="n"/>
      <c r="G95" s="76" t="n">
        <v>108</v>
      </c>
      <c r="H95" s="166">
        <f>E95/G95</f>
        <v/>
      </c>
      <c r="I95" s="76" t="n">
        <v>0.77</v>
      </c>
      <c r="J95" s="76" t="n">
        <v>0.37</v>
      </c>
      <c r="K95" s="76" t="n">
        <v>0.23</v>
      </c>
      <c r="L95" s="76" t="n">
        <v>26.5</v>
      </c>
      <c r="M95" s="167">
        <f>H95*I95*J95*K95</f>
        <v/>
      </c>
      <c r="N95" s="171" t="n">
        <v>1296</v>
      </c>
      <c r="O95" s="167">
        <f>E95/N95</f>
        <v/>
      </c>
      <c r="P95" s="157">
        <f>H95*L95</f>
        <v/>
      </c>
      <c r="Q95" s="168">
        <f>S95*0.85</f>
        <v/>
      </c>
      <c r="R95" s="132">
        <f>E95*Q95</f>
        <v/>
      </c>
      <c r="S95" s="168" t="n">
        <v>0.886</v>
      </c>
      <c r="T95" s="3" t="n">
        <v>3.73</v>
      </c>
      <c r="U95" s="157">
        <f>E95*T95</f>
        <v/>
      </c>
      <c r="W95" s="169">
        <f>T95*1.17*1.18</f>
        <v/>
      </c>
      <c r="X95" s="157">
        <f>E95*W95</f>
        <v/>
      </c>
      <c r="AC95" s="15" t="n">
        <v>8423224785249</v>
      </c>
    </row>
    <row r="96" ht="15.65" customHeight="1">
      <c r="A96" s="9" t="n"/>
      <c r="B96" s="104" t="inlineStr">
        <is>
          <t>2-1467.150.61</t>
        </is>
      </c>
      <c r="C96" s="125" t="inlineStr">
        <is>
          <t>000467150006102</t>
        </is>
      </c>
      <c r="D96" s="9" t="inlineStr">
        <is>
          <t>砂黑</t>
        </is>
      </c>
      <c r="E96" s="165" t="n"/>
      <c r="F96" s="165" t="n"/>
      <c r="G96" s="76" t="n">
        <v>108</v>
      </c>
      <c r="H96" s="166">
        <f>E96/G96</f>
        <v/>
      </c>
      <c r="I96" s="76" t="n">
        <v>0.77</v>
      </c>
      <c r="J96" s="76" t="n">
        <v>0.37</v>
      </c>
      <c r="K96" s="76" t="n">
        <v>0.23</v>
      </c>
      <c r="L96" s="76" t="n">
        <v>26.5</v>
      </c>
      <c r="M96" s="167">
        <f>H96*I96*J96*K96</f>
        <v/>
      </c>
      <c r="N96" s="171" t="n">
        <v>1296</v>
      </c>
      <c r="O96" s="167">
        <f>E96/N96</f>
        <v/>
      </c>
      <c r="P96" s="157">
        <f>H96*L96</f>
        <v/>
      </c>
      <c r="Q96" s="168">
        <f>S96*0.85</f>
        <v/>
      </c>
      <c r="R96" s="132">
        <f>E96*Q96</f>
        <v/>
      </c>
      <c r="S96" s="168" t="n">
        <v>0.795</v>
      </c>
      <c r="T96" s="3" t="n">
        <v>3.39</v>
      </c>
      <c r="U96" s="157">
        <f>E96*T96</f>
        <v/>
      </c>
      <c r="W96" s="169">
        <f>T96*1.17*1.18</f>
        <v/>
      </c>
      <c r="X96" s="157">
        <f>E96*W96</f>
        <v/>
      </c>
      <c r="AC96" s="15" t="n">
        <v>8423224785232</v>
      </c>
    </row>
    <row r="97" ht="15.65" customHeight="1">
      <c r="A97" s="9" t="n"/>
      <c r="B97" s="104" t="n"/>
      <c r="C97" s="163" t="n"/>
      <c r="D97" s="9" t="n"/>
      <c r="E97" s="165" t="n"/>
      <c r="F97" s="165" t="n"/>
      <c r="H97" s="166" t="n"/>
      <c r="N97" s="171" t="n"/>
      <c r="Q97" s="168" t="n"/>
      <c r="R97" s="132" t="n"/>
      <c r="S97" s="168" t="n"/>
      <c r="T97" s="3" t="n"/>
      <c r="U97" s="157" t="n"/>
      <c r="W97" s="169">
        <f>T97*1.17*1.18</f>
        <v/>
      </c>
      <c r="X97" s="157">
        <f>E97*W97</f>
        <v/>
      </c>
      <c r="AC97" s="15" t="n"/>
    </row>
    <row r="98" ht="15.65" customHeight="1">
      <c r="A98" s="9" t="inlineStr">
        <is>
          <t>圆台阶-200</t>
        </is>
      </c>
      <c r="B98" s="159" t="inlineStr">
        <is>
          <t>2-1467.200.R</t>
        </is>
      </c>
      <c r="C98" s="125" t="inlineStr">
        <is>
          <t>000467200000000</t>
        </is>
      </c>
      <c r="D98" s="9" t="inlineStr">
        <is>
          <t>毛胚</t>
        </is>
      </c>
      <c r="E98" s="165" t="n"/>
      <c r="F98" s="165" t="n"/>
      <c r="G98" s="76" t="n">
        <v>100</v>
      </c>
      <c r="H98" s="166">
        <f>E98/G98</f>
        <v/>
      </c>
      <c r="I98" s="76" t="n">
        <v>0.6</v>
      </c>
      <c r="J98" s="76" t="n">
        <v>0.46</v>
      </c>
      <c r="K98" s="76" t="n">
        <v>0.23</v>
      </c>
      <c r="L98" s="76" t="n">
        <v>24</v>
      </c>
      <c r="M98" s="167">
        <f>H98*I98*J98*K98</f>
        <v/>
      </c>
      <c r="N98" s="171" t="n">
        <v>1152</v>
      </c>
      <c r="O98" s="167">
        <f>E98/N98</f>
        <v/>
      </c>
      <c r="P98" s="157">
        <f>H98*L98</f>
        <v/>
      </c>
      <c r="Q98" s="168" t="n">
        <v>0.735</v>
      </c>
      <c r="R98" s="132">
        <f>E98*Q98</f>
        <v/>
      </c>
      <c r="S98" s="168" t="n">
        <v>0.865</v>
      </c>
      <c r="T98" s="19" t="n">
        <v>3.7</v>
      </c>
      <c r="U98" s="157">
        <f>E98*T98</f>
        <v/>
      </c>
      <c r="W98" s="169">
        <f>T98*1.17*1.18</f>
        <v/>
      </c>
      <c r="X98" s="157">
        <f>E98*W98</f>
        <v/>
      </c>
      <c r="AC98" s="15" t="n">
        <v>8423224785270</v>
      </c>
    </row>
    <row r="99" ht="15.65" customHeight="1">
      <c r="A99" s="9" t="n"/>
      <c r="B99" s="104" t="inlineStr">
        <is>
          <t>2-1467.200.35</t>
        </is>
      </c>
      <c r="C99" s="163" t="inlineStr">
        <is>
          <t>000467200001102</t>
        </is>
      </c>
      <c r="D99" s="9" t="inlineStr">
        <is>
          <t>棕色</t>
        </is>
      </c>
      <c r="E99" s="165" t="n"/>
      <c r="F99" s="165" t="n"/>
      <c r="G99" s="76" t="n">
        <v>72</v>
      </c>
      <c r="H99" s="166">
        <f>E99/G99</f>
        <v/>
      </c>
      <c r="I99" s="76" t="n">
        <v>0.77</v>
      </c>
      <c r="J99" s="76" t="n">
        <v>0.37</v>
      </c>
      <c r="K99" s="76" t="n">
        <v>0.23</v>
      </c>
      <c r="L99" s="76" t="n">
        <v>24</v>
      </c>
      <c r="M99" s="167">
        <f>H99*I99*J99*K99</f>
        <v/>
      </c>
      <c r="N99" s="171" t="n">
        <v>1152</v>
      </c>
      <c r="O99" s="167">
        <f>E99/N99</f>
        <v/>
      </c>
      <c r="P99" s="157">
        <f>H99*L99</f>
        <v/>
      </c>
      <c r="Q99" s="168">
        <f>S99*0.85</f>
        <v/>
      </c>
      <c r="R99" s="132">
        <f>E99*Q99</f>
        <v/>
      </c>
      <c r="S99" s="168" t="n">
        <v>1.155</v>
      </c>
      <c r="T99" s="3" t="n">
        <v>4.72</v>
      </c>
      <c r="U99" s="157">
        <f>E99*T99</f>
        <v/>
      </c>
      <c r="W99" s="169">
        <f>T99*1.17*1.18</f>
        <v/>
      </c>
      <c r="X99" s="157">
        <f>E99*W99</f>
        <v/>
      </c>
      <c r="AC99" s="15" t="n">
        <v>8423224785270</v>
      </c>
    </row>
    <row r="100" ht="15.65" customHeight="1">
      <c r="A100" s="9" t="n"/>
      <c r="B100" s="104" t="inlineStr">
        <is>
          <t>2-1467.200.61</t>
        </is>
      </c>
      <c r="C100" s="163" t="n"/>
      <c r="D100" s="9" t="inlineStr">
        <is>
          <t>砂黑</t>
        </is>
      </c>
      <c r="E100" s="165" t="n"/>
      <c r="F100" s="165" t="n"/>
      <c r="G100" s="76" t="n">
        <v>72</v>
      </c>
      <c r="H100" s="166">
        <f>E100/G100</f>
        <v/>
      </c>
      <c r="I100" s="76" t="n">
        <v>0.77</v>
      </c>
      <c r="J100" s="76" t="n">
        <v>0.37</v>
      </c>
      <c r="K100" s="76" t="n">
        <v>0.23</v>
      </c>
      <c r="L100" s="76" t="n">
        <v>24</v>
      </c>
      <c r="M100" s="167">
        <f>H100*I100*J100*K100</f>
        <v/>
      </c>
      <c r="N100" s="171" t="n">
        <v>1152</v>
      </c>
      <c r="O100" s="167">
        <f>E100/N100</f>
        <v/>
      </c>
      <c r="P100" s="157">
        <f>H100*L100</f>
        <v/>
      </c>
      <c r="Q100" s="168">
        <f>S100*0.85</f>
        <v/>
      </c>
      <c r="R100" s="132">
        <f>E100*Q100</f>
        <v/>
      </c>
      <c r="S100" s="168" t="n">
        <v>1.027</v>
      </c>
      <c r="T100" s="3" t="n">
        <v>4.36</v>
      </c>
      <c r="U100" s="157">
        <f>E100*T100</f>
        <v/>
      </c>
      <c r="W100" s="169">
        <f>T100*1.17*1.18</f>
        <v/>
      </c>
      <c r="X100" s="157">
        <f>E100*W100</f>
        <v/>
      </c>
      <c r="AC100" s="15" t="n">
        <v>8423224785263</v>
      </c>
    </row>
    <row r="101" ht="15.65" customHeight="1">
      <c r="A101" s="9" t="n"/>
      <c r="B101" s="104" t="n"/>
      <c r="C101" s="163" t="n"/>
      <c r="D101" s="9" t="n"/>
      <c r="E101" s="165" t="n"/>
      <c r="F101" s="180" t="n"/>
      <c r="H101" s="166" t="n"/>
      <c r="M101" s="167" t="n"/>
      <c r="N101" s="171" t="n"/>
      <c r="O101" s="167" t="n"/>
      <c r="P101" s="157" t="n"/>
      <c r="Q101" s="168" t="n"/>
      <c r="R101" s="132" t="n"/>
      <c r="S101" s="168" t="n"/>
      <c r="T101" s="3" t="n"/>
      <c r="U101" s="157" t="n"/>
      <c r="W101" s="169">
        <f>T101*1.17*1.18</f>
        <v/>
      </c>
      <c r="X101" s="157">
        <f>E101*W101</f>
        <v/>
      </c>
      <c r="AC101" s="15" t="n"/>
    </row>
    <row r="102" ht="15.65" customHeight="1">
      <c r="A102" s="9" t="inlineStr">
        <is>
          <t>方钢台阶-150</t>
        </is>
      </c>
      <c r="B102" s="104" t="inlineStr">
        <is>
          <t>2-1468.150.R</t>
        </is>
      </c>
      <c r="C102" s="125" t="inlineStr">
        <is>
          <t>000468150000000</t>
        </is>
      </c>
      <c r="D102" s="76" t="inlineStr">
        <is>
          <t>简装毛胚</t>
        </is>
      </c>
      <c r="E102" s="165" t="n"/>
      <c r="F102" s="165" t="n"/>
      <c r="G102" s="76" t="n">
        <v>108</v>
      </c>
      <c r="H102" s="166">
        <f>E102/G102</f>
        <v/>
      </c>
      <c r="I102" s="167" t="n">
        <v>0.4</v>
      </c>
      <c r="J102" s="167" t="n">
        <v>0.3</v>
      </c>
      <c r="K102" s="76" t="n">
        <v>0.21</v>
      </c>
      <c r="L102" s="76" t="n">
        <v>20.5</v>
      </c>
      <c r="M102" s="167">
        <f>H102*I102*J102*K102</f>
        <v/>
      </c>
      <c r="N102" s="171" t="n"/>
      <c r="O102" s="167" t="n"/>
      <c r="P102" s="157">
        <f>H102*L102</f>
        <v/>
      </c>
      <c r="Q102" s="168">
        <f>S102*0.85</f>
        <v/>
      </c>
      <c r="R102" s="132">
        <f>E102*Q102</f>
        <v/>
      </c>
      <c r="S102" s="168" t="n">
        <v>0.6830000000000001</v>
      </c>
      <c r="T102" s="178" t="n">
        <v>2.7</v>
      </c>
      <c r="U102" s="157">
        <f>E102*T102</f>
        <v/>
      </c>
      <c r="W102" s="169">
        <f>T102*1.17*1.18</f>
        <v/>
      </c>
      <c r="X102" s="157">
        <f>E102*W102</f>
        <v/>
      </c>
      <c r="AC102" s="15" t="n"/>
    </row>
    <row r="103" ht="15.65" customHeight="1">
      <c r="B103" s="159" t="inlineStr">
        <is>
          <t>2-1468.150.38</t>
        </is>
      </c>
      <c r="C103" s="110" t="inlineStr">
        <is>
          <t>000468150003802</t>
        </is>
      </c>
      <c r="D103" s="9" t="inlineStr">
        <is>
          <t>银灰色</t>
        </is>
      </c>
      <c r="E103" s="165" t="n"/>
      <c r="F103" s="165" t="n"/>
      <c r="G103" s="76" t="n">
        <v>108</v>
      </c>
      <c r="H103" s="166">
        <f>E103/G103</f>
        <v/>
      </c>
      <c r="I103" s="76" t="n">
        <v>0.77</v>
      </c>
      <c r="J103" s="76" t="n">
        <v>0.37</v>
      </c>
      <c r="K103" s="76" t="n">
        <v>0.23</v>
      </c>
      <c r="L103" s="76" t="n">
        <v>25.5</v>
      </c>
      <c r="M103" s="167">
        <f>H103*I103*J103*K103</f>
        <v/>
      </c>
      <c r="N103" s="171" t="n">
        <v>1296</v>
      </c>
      <c r="O103" s="167">
        <f>E103/N103</f>
        <v/>
      </c>
      <c r="P103" s="157">
        <f>H103*L103</f>
        <v/>
      </c>
      <c r="Q103" s="168" t="n">
        <v>0.699</v>
      </c>
      <c r="R103" s="132">
        <f>E103*Q103</f>
        <v/>
      </c>
      <c r="S103" s="168" t="n">
        <v>0.822</v>
      </c>
      <c r="T103" s="3" t="n">
        <v>3.51</v>
      </c>
      <c r="U103" s="157">
        <f>E103*T103</f>
        <v/>
      </c>
      <c r="W103" s="169">
        <f>T103*1.17*1.18</f>
        <v/>
      </c>
      <c r="X103" s="157">
        <f>E103*W103</f>
        <v/>
      </c>
      <c r="AC103" s="15" t="n">
        <v>8423224821725</v>
      </c>
    </row>
    <row r="104" ht="15.65" customHeight="1">
      <c r="A104" s="9" t="inlineStr">
        <is>
          <t>新</t>
        </is>
      </c>
      <c r="B104" s="159" t="inlineStr">
        <is>
          <t>2-1468.150.01</t>
        </is>
      </c>
      <c r="C104" s="110" t="inlineStr">
        <is>
          <t>000468150000102</t>
        </is>
      </c>
      <c r="D104" s="9" t="inlineStr">
        <is>
          <t>白色</t>
        </is>
      </c>
      <c r="E104" s="165" t="n"/>
      <c r="F104" s="165" t="n"/>
      <c r="G104" s="76" t="n">
        <v>108</v>
      </c>
      <c r="H104" s="166">
        <f>E104/G104</f>
        <v/>
      </c>
      <c r="I104" s="76" t="n">
        <v>0.77</v>
      </c>
      <c r="J104" s="76" t="n">
        <v>0.37</v>
      </c>
      <c r="K104" s="76" t="n">
        <v>0.23</v>
      </c>
      <c r="L104" s="76" t="n">
        <v>25.5</v>
      </c>
      <c r="M104" s="167">
        <f>H104*I104*J104*K104</f>
        <v/>
      </c>
      <c r="N104" s="171" t="n">
        <v>1296</v>
      </c>
      <c r="O104" s="167">
        <f>E104/N104</f>
        <v/>
      </c>
      <c r="P104" s="157">
        <f>H104*L104</f>
        <v/>
      </c>
      <c r="Q104" s="168" t="n">
        <v>0.699</v>
      </c>
      <c r="R104" s="132">
        <f>E104*Q104</f>
        <v/>
      </c>
      <c r="S104" s="168" t="n">
        <v>0.822</v>
      </c>
      <c r="T104" s="3" t="n">
        <v>3.51</v>
      </c>
      <c r="U104" s="157">
        <f>E104*T104</f>
        <v/>
      </c>
      <c r="W104" s="169">
        <f>T104*1.17*1.18</f>
        <v/>
      </c>
      <c r="X104" s="157">
        <f>E104*W104</f>
        <v/>
      </c>
      <c r="AC104" s="15" t="n">
        <v>8423224835845</v>
      </c>
    </row>
    <row r="105" ht="15.65" customHeight="1">
      <c r="A105" s="9" t="inlineStr">
        <is>
          <t>新</t>
        </is>
      </c>
      <c r="B105" s="104" t="inlineStr">
        <is>
          <t>2-1468.150.03</t>
        </is>
      </c>
      <c r="C105" s="111" t="inlineStr">
        <is>
          <t>000468150000302</t>
        </is>
      </c>
      <c r="D105" s="9" t="inlineStr">
        <is>
          <t>黑色</t>
        </is>
      </c>
      <c r="E105" s="165" t="n"/>
      <c r="F105" s="165" t="n"/>
      <c r="G105" s="76" t="n">
        <v>108</v>
      </c>
      <c r="H105" s="166">
        <f>E105/G105</f>
        <v/>
      </c>
      <c r="I105" s="76" t="n">
        <v>0.77</v>
      </c>
      <c r="J105" s="76" t="n">
        <v>0.37</v>
      </c>
      <c r="K105" s="76" t="n">
        <v>0.23</v>
      </c>
      <c r="L105" s="76" t="n">
        <v>25.5</v>
      </c>
      <c r="M105" s="167">
        <f>H105*I105*J105*K105</f>
        <v/>
      </c>
      <c r="N105" s="171" t="n">
        <v>1296</v>
      </c>
      <c r="O105" s="167">
        <f>E105/N105</f>
        <v/>
      </c>
      <c r="P105" s="157">
        <f>H105*L105</f>
        <v/>
      </c>
      <c r="Q105" s="168">
        <f>S105*0.85</f>
        <v/>
      </c>
      <c r="R105" s="132">
        <f>E105*Q105</f>
        <v/>
      </c>
      <c r="S105" s="181" t="n">
        <v>0.904</v>
      </c>
      <c r="T105" s="3" t="n">
        <v>3.51</v>
      </c>
      <c r="U105" s="157">
        <f>E105*T105</f>
        <v/>
      </c>
      <c r="W105" s="169">
        <f>T105*1.17*1.18</f>
        <v/>
      </c>
      <c r="X105" s="157">
        <f>E105*W105</f>
        <v/>
      </c>
      <c r="AC105" s="15" t="n">
        <v>8423224835852</v>
      </c>
    </row>
    <row r="106" ht="15.65" customHeight="1">
      <c r="A106" s="9" t="inlineStr">
        <is>
          <t>Brandy</t>
        </is>
      </c>
      <c r="B106" s="104" t="inlineStr">
        <is>
          <t>2-1468.150.41</t>
        </is>
      </c>
      <c r="C106" s="163" t="n"/>
      <c r="D106" s="9" t="inlineStr">
        <is>
          <t>咖啡色4</t>
        </is>
      </c>
      <c r="E106" s="165" t="n"/>
      <c r="F106" s="165" t="n"/>
      <c r="G106" s="76" t="n">
        <v>108</v>
      </c>
      <c r="H106" s="166">
        <f>E106/G106</f>
        <v/>
      </c>
      <c r="I106" s="76" t="n">
        <v>0.77</v>
      </c>
      <c r="J106" s="76" t="n">
        <v>0.37</v>
      </c>
      <c r="K106" s="76" t="n">
        <v>0.23</v>
      </c>
      <c r="L106" s="76" t="n">
        <v>25.5</v>
      </c>
      <c r="M106" s="167">
        <f>H106*I106*J106*K106</f>
        <v/>
      </c>
      <c r="N106" s="171" t="n">
        <v>1296</v>
      </c>
      <c r="O106" s="167">
        <f>E106/N106</f>
        <v/>
      </c>
      <c r="P106" s="157">
        <f>H106*L106</f>
        <v/>
      </c>
      <c r="Q106" s="168">
        <f>S106*0.85</f>
        <v/>
      </c>
      <c r="R106" s="132">
        <f>E106*Q106</f>
        <v/>
      </c>
      <c r="S106" s="168" t="n">
        <v>0.923</v>
      </c>
      <c r="T106" s="3" t="n">
        <v>3.79</v>
      </c>
      <c r="U106" s="157">
        <f>E106*T106</f>
        <v/>
      </c>
      <c r="W106" s="169">
        <f>T106*1.17*1.18</f>
        <v/>
      </c>
      <c r="X106" s="157">
        <f>E106*W106</f>
        <v/>
      </c>
      <c r="AC106" s="15" t="n">
        <v>8423224835869</v>
      </c>
    </row>
    <row r="107" ht="15.65" customHeight="1">
      <c r="A107" s="9" t="n"/>
      <c r="B107" s="104" t="inlineStr">
        <is>
          <t>2-1468.150.35</t>
        </is>
      </c>
      <c r="C107" s="125" t="inlineStr">
        <is>
          <t>000468150001102</t>
        </is>
      </c>
      <c r="D107" s="9" t="inlineStr">
        <is>
          <t>棕色</t>
        </is>
      </c>
      <c r="E107" s="165" t="n"/>
      <c r="F107" s="165" t="n"/>
      <c r="G107" s="76" t="n">
        <v>108</v>
      </c>
      <c r="H107" s="166">
        <f>E107/G107</f>
        <v/>
      </c>
      <c r="I107" s="76" t="n">
        <v>0.77</v>
      </c>
      <c r="J107" s="76" t="n">
        <v>0.37</v>
      </c>
      <c r="K107" s="76" t="n">
        <v>0.23</v>
      </c>
      <c r="L107" s="76" t="n">
        <v>25.5</v>
      </c>
      <c r="M107" s="167">
        <f>H107*I107*J107*K107</f>
        <v/>
      </c>
      <c r="N107" s="171" t="n">
        <v>1296</v>
      </c>
      <c r="O107" s="167">
        <f>E107/N107</f>
        <v/>
      </c>
      <c r="P107" s="157">
        <f>H107*L107</f>
        <v/>
      </c>
      <c r="Q107" s="168">
        <f>S107*0.85</f>
        <v/>
      </c>
      <c r="R107" s="132">
        <f>E107*Q107</f>
        <v/>
      </c>
      <c r="S107" s="168" t="n">
        <v>0.923</v>
      </c>
      <c r="T107" s="3" t="n">
        <v>3.85</v>
      </c>
      <c r="U107" s="157">
        <f>E107*T107</f>
        <v/>
      </c>
      <c r="W107" s="169">
        <f>T107*1.17*1.18</f>
        <v/>
      </c>
      <c r="X107" s="157">
        <f>E107*W107</f>
        <v/>
      </c>
      <c r="AC107" s="15" t="n">
        <v>8423224821718</v>
      </c>
    </row>
    <row r="108" ht="15.65" customHeight="1">
      <c r="A108" s="9" t="n"/>
      <c r="B108" s="104" t="n"/>
      <c r="C108" s="163" t="n"/>
      <c r="D108" s="9" t="n"/>
      <c r="E108" s="165" t="n"/>
      <c r="F108" s="180" t="n"/>
      <c r="H108" s="166" t="n"/>
      <c r="M108" s="167" t="n"/>
      <c r="N108" s="171" t="n"/>
      <c r="O108" s="167" t="n"/>
      <c r="P108" s="157" t="n"/>
      <c r="Q108" s="168" t="n"/>
      <c r="R108" s="132" t="n"/>
      <c r="S108" s="168" t="n"/>
      <c r="T108" s="3" t="n"/>
      <c r="U108" s="157" t="n"/>
      <c r="W108" s="169">
        <f>T108*1.17*1.18</f>
        <v/>
      </c>
      <c r="X108" s="157">
        <f>E108*W108</f>
        <v/>
      </c>
      <c r="AC108" s="15" t="n"/>
    </row>
    <row r="109" ht="15.65" customHeight="1">
      <c r="A109" s="9" t="inlineStr">
        <is>
          <t>方钢台阶-200</t>
        </is>
      </c>
      <c r="B109" s="104" t="inlineStr">
        <is>
          <t>2-1468.200.R</t>
        </is>
      </c>
      <c r="C109" s="125" t="inlineStr">
        <is>
          <t>000468200000000</t>
        </is>
      </c>
      <c r="D109" s="76" t="inlineStr">
        <is>
          <t>简装毛胚</t>
        </is>
      </c>
      <c r="E109" s="165" t="n"/>
      <c r="F109" s="165" t="n"/>
      <c r="G109" s="76" t="n">
        <v>78</v>
      </c>
      <c r="H109" s="166">
        <f>E109/G109</f>
        <v/>
      </c>
      <c r="I109" s="167" t="n">
        <v>0.4</v>
      </c>
      <c r="J109" s="167" t="n">
        <v>0.3</v>
      </c>
      <c r="K109" s="76" t="n">
        <v>0.27</v>
      </c>
      <c r="L109" s="76" t="n">
        <v>20</v>
      </c>
      <c r="M109" s="167">
        <f>H109*I109*J109*K109</f>
        <v/>
      </c>
      <c r="N109" s="171" t="n"/>
      <c r="O109" s="167" t="n"/>
      <c r="P109" s="157">
        <f>H109*L109</f>
        <v/>
      </c>
      <c r="Q109" s="168">
        <f>S109*0.85</f>
        <v/>
      </c>
      <c r="R109" s="132">
        <f>E109*Q109</f>
        <v/>
      </c>
      <c r="S109" s="168" t="n">
        <v>0.976</v>
      </c>
      <c r="T109" s="178" t="n">
        <v>4.17</v>
      </c>
      <c r="U109" s="157">
        <f>E109*T109</f>
        <v/>
      </c>
      <c r="W109" s="169">
        <f>T109*1.17*1.18</f>
        <v/>
      </c>
      <c r="X109" s="157">
        <f>E109*W109</f>
        <v/>
      </c>
      <c r="AC109" s="15" t="n"/>
    </row>
    <row r="110" ht="15.65" customHeight="1">
      <c r="B110" s="104" t="inlineStr">
        <is>
          <t>2-1468.200.38</t>
        </is>
      </c>
      <c r="C110" s="125" t="inlineStr">
        <is>
          <t>000468200003802</t>
        </is>
      </c>
      <c r="D110" s="9" t="inlineStr">
        <is>
          <t>银灰色</t>
        </is>
      </c>
      <c r="E110" s="165" t="n"/>
      <c r="F110" s="165" t="n"/>
      <c r="G110" s="76" t="n">
        <v>72</v>
      </c>
      <c r="H110" s="166">
        <f>E110/G110</f>
        <v/>
      </c>
      <c r="I110" s="167" t="n">
        <v>0.6</v>
      </c>
      <c r="J110" s="76" t="n">
        <v>0.46</v>
      </c>
      <c r="K110" s="76" t="n">
        <v>0.23</v>
      </c>
      <c r="L110" s="76" t="n">
        <v>23</v>
      </c>
      <c r="M110" s="167">
        <f>H110*I110*J110*K110</f>
        <v/>
      </c>
      <c r="N110" s="171" t="n">
        <v>864</v>
      </c>
      <c r="O110" s="167">
        <f>E110/N110</f>
        <v/>
      </c>
      <c r="P110" s="157">
        <f>H110*L110</f>
        <v/>
      </c>
      <c r="Q110" s="168">
        <f>S110*0.85</f>
        <v/>
      </c>
      <c r="R110" s="132">
        <f>E110*Q110</f>
        <v/>
      </c>
      <c r="S110" s="168" t="n">
        <v>1.155</v>
      </c>
      <c r="T110" s="178" t="n">
        <v>4.8</v>
      </c>
      <c r="U110" s="157">
        <f>E110*T110</f>
        <v/>
      </c>
      <c r="W110" s="169">
        <f>T110*1.17*1.18</f>
        <v/>
      </c>
      <c r="X110" s="157">
        <f>E110*W110</f>
        <v/>
      </c>
      <c r="AC110" s="15" t="n">
        <v>8423224821749</v>
      </c>
    </row>
    <row r="111" ht="15.65" customHeight="1">
      <c r="A111" s="9" t="inlineStr">
        <is>
          <t>新</t>
        </is>
      </c>
      <c r="B111" s="159" t="inlineStr">
        <is>
          <t>2-1468.200.01</t>
        </is>
      </c>
      <c r="C111" s="125" t="inlineStr">
        <is>
          <t>000468200000102</t>
        </is>
      </c>
      <c r="D111" s="9" t="inlineStr">
        <is>
          <t>白色</t>
        </is>
      </c>
      <c r="E111" s="165" t="n"/>
      <c r="F111" s="165" t="n"/>
      <c r="G111" s="76" t="n">
        <v>72</v>
      </c>
      <c r="H111" s="166">
        <f>E111/G111</f>
        <v/>
      </c>
      <c r="I111" s="167" t="n">
        <v>0.6</v>
      </c>
      <c r="J111" s="76" t="n">
        <v>0.46</v>
      </c>
      <c r="K111" s="76" t="n">
        <v>0.23</v>
      </c>
      <c r="L111" s="76" t="n">
        <v>23</v>
      </c>
      <c r="M111" s="167">
        <f>H111*I111*J111*K111</f>
        <v/>
      </c>
      <c r="N111" s="171" t="n">
        <v>864</v>
      </c>
      <c r="O111" s="167">
        <f>E111/N111</f>
        <v/>
      </c>
      <c r="P111" s="157">
        <f>H111*L111</f>
        <v/>
      </c>
      <c r="Q111" s="168">
        <f>S111*0.85</f>
        <v/>
      </c>
      <c r="R111" s="132">
        <f>E111*Q111</f>
        <v/>
      </c>
      <c r="S111" s="168" t="n">
        <v>1.155</v>
      </c>
      <c r="T111" s="178" t="n">
        <v>4.8</v>
      </c>
      <c r="U111" s="157">
        <f>E111*T111</f>
        <v/>
      </c>
      <c r="W111" s="169">
        <f>T111*1.17*1.18</f>
        <v/>
      </c>
      <c r="X111" s="157">
        <f>E111*W111</f>
        <v/>
      </c>
      <c r="AC111" s="15" t="n">
        <v>8423224835876</v>
      </c>
    </row>
    <row r="112" ht="15.65" customHeight="1">
      <c r="A112" s="9" t="inlineStr">
        <is>
          <t>Brandy</t>
        </is>
      </c>
      <c r="B112" s="104" t="inlineStr">
        <is>
          <t>2-1468.200.41</t>
        </is>
      </c>
      <c r="C112" s="125" t="inlineStr">
        <is>
          <t>000468200004102</t>
        </is>
      </c>
      <c r="D112" s="9" t="inlineStr">
        <is>
          <t>咖啡色4</t>
        </is>
      </c>
      <c r="E112" s="165" t="n"/>
      <c r="F112" s="165" t="n"/>
      <c r="G112" s="76" t="n">
        <v>72</v>
      </c>
      <c r="H112" s="166">
        <f>E112/G112</f>
        <v/>
      </c>
      <c r="I112" s="167" t="n">
        <v>0.6</v>
      </c>
      <c r="J112" s="76" t="n">
        <v>0.46</v>
      </c>
      <c r="K112" s="76" t="n">
        <v>0.23</v>
      </c>
      <c r="L112" s="76" t="n">
        <v>23</v>
      </c>
      <c r="M112" s="167">
        <f>H112*I112*J112*K112</f>
        <v/>
      </c>
      <c r="N112" s="171" t="n">
        <v>864</v>
      </c>
      <c r="O112" s="167">
        <f>E112/N112</f>
        <v/>
      </c>
      <c r="P112" s="157">
        <f>H112*L112</f>
        <v/>
      </c>
      <c r="Q112" s="168">
        <f>S112*0.85</f>
        <v/>
      </c>
      <c r="R112" s="132">
        <f>E112*Q112</f>
        <v/>
      </c>
      <c r="S112" s="168" t="n">
        <v>1.283</v>
      </c>
      <c r="T112" s="178" t="n">
        <v>5.17</v>
      </c>
      <c r="U112" s="157">
        <f>E112*T112</f>
        <v/>
      </c>
      <c r="W112" s="169">
        <f>T112*1.17*1.18</f>
        <v/>
      </c>
      <c r="X112" s="157">
        <f>E112*W112</f>
        <v/>
      </c>
      <c r="AC112" s="15" t="n">
        <v>8423224835883</v>
      </c>
    </row>
    <row r="113" ht="15.65" customHeight="1">
      <c r="A113" s="9" t="n"/>
      <c r="B113" s="104" t="inlineStr">
        <is>
          <t>2-1468.200.35</t>
        </is>
      </c>
      <c r="C113" s="125" t="inlineStr">
        <is>
          <t>000468200001102</t>
        </is>
      </c>
      <c r="D113" s="9" t="inlineStr">
        <is>
          <t>棕色</t>
        </is>
      </c>
      <c r="E113" s="165" t="n"/>
      <c r="F113" s="165" t="n"/>
      <c r="G113" s="76" t="n">
        <v>72</v>
      </c>
      <c r="H113" s="166">
        <f>E113/G113</f>
        <v/>
      </c>
      <c r="I113" s="167" t="n">
        <v>0.6</v>
      </c>
      <c r="J113" s="76" t="n">
        <v>0.46</v>
      </c>
      <c r="K113" s="76" t="n">
        <v>0.23</v>
      </c>
      <c r="L113" s="76" t="n">
        <v>23</v>
      </c>
      <c r="M113" s="167">
        <f>H113*I113*J113*K113</f>
        <v/>
      </c>
      <c r="N113" s="171" t="n">
        <v>864</v>
      </c>
      <c r="O113" s="167">
        <f>E113/N113</f>
        <v/>
      </c>
      <c r="P113" s="157">
        <f>H113*L113</f>
        <v/>
      </c>
      <c r="Q113" s="168">
        <f>S113*0.85</f>
        <v/>
      </c>
      <c r="R113" s="132">
        <f>E113*Q113</f>
        <v/>
      </c>
      <c r="S113" s="168" t="n">
        <v>1.283</v>
      </c>
      <c r="T113" s="178" t="n">
        <v>5.22</v>
      </c>
      <c r="U113" s="157">
        <f>E113*T113</f>
        <v/>
      </c>
      <c r="W113" s="169">
        <f>T113*1.17*1.18</f>
        <v/>
      </c>
      <c r="X113" s="157">
        <f>E113*W113</f>
        <v/>
      </c>
      <c r="AC113" s="15" t="n">
        <v>8423224821732</v>
      </c>
    </row>
    <row r="114" ht="15.65" customHeight="1">
      <c r="A114" s="9" t="n"/>
      <c r="B114" s="104" t="n"/>
      <c r="C114" s="163" t="n"/>
      <c r="D114" s="9" t="n"/>
      <c r="E114" s="165" t="n"/>
      <c r="F114" s="165" t="n"/>
      <c r="H114" s="166" t="n"/>
      <c r="I114" s="167" t="n"/>
      <c r="M114" s="167" t="n"/>
      <c r="N114" s="171" t="n"/>
      <c r="O114" s="167" t="n"/>
      <c r="P114" s="157" t="n"/>
      <c r="Q114" s="168" t="n"/>
      <c r="R114" s="132" t="n"/>
      <c r="S114" s="168" t="n"/>
      <c r="T114" s="3" t="inlineStr">
        <is>
          <t>带包装</t>
        </is>
      </c>
      <c r="U114" s="157" t="n"/>
      <c r="W114" s="169" t="n"/>
      <c r="X114" s="157">
        <f>E114*W114</f>
        <v/>
      </c>
      <c r="AC114" s="15" t="n"/>
    </row>
    <row r="115" ht="15.65" customHeight="1">
      <c r="A115" s="9" t="inlineStr">
        <is>
          <t>圣诞树-120</t>
        </is>
      </c>
      <c r="B115" s="104" t="inlineStr">
        <is>
          <t>2-1471.120.17</t>
        </is>
      </c>
      <c r="C115" s="163" t="n"/>
      <c r="D115" s="9" t="inlineStr">
        <is>
          <t>亚光白</t>
        </is>
      </c>
      <c r="E115" s="165" t="n"/>
      <c r="F115" s="165" t="n"/>
      <c r="G115" s="76" t="n">
        <v>144</v>
      </c>
      <c r="H115" s="166">
        <f>E115/G115</f>
        <v/>
      </c>
      <c r="I115" s="76" t="n">
        <v>0.85</v>
      </c>
      <c r="J115" s="76" t="n">
        <v>0.47</v>
      </c>
      <c r="K115" s="76" t="n">
        <v>0.24</v>
      </c>
      <c r="L115" s="76" t="n">
        <v>40</v>
      </c>
      <c r="M115" s="167">
        <f>H115*I115*J115*K115</f>
        <v/>
      </c>
      <c r="N115" s="171" t="n">
        <v>1296</v>
      </c>
      <c r="O115" s="167">
        <f>E115/N115</f>
        <v/>
      </c>
      <c r="P115" s="157">
        <f>H115*L115</f>
        <v/>
      </c>
      <c r="Q115" s="168">
        <f>S115*0.85</f>
        <v/>
      </c>
      <c r="R115" s="132">
        <f>E115*Q115</f>
        <v/>
      </c>
      <c r="S115" s="168" t="n">
        <v>1.681</v>
      </c>
      <c r="T115" s="19" t="n">
        <v>6.77</v>
      </c>
      <c r="U115" s="157">
        <f>E115*T115</f>
        <v/>
      </c>
      <c r="W115" s="169">
        <f>T115*1.17*1.18</f>
        <v/>
      </c>
      <c r="X115" s="157">
        <f>E115*W115</f>
        <v/>
      </c>
      <c r="AC115" s="15" t="n">
        <v>8423224835890</v>
      </c>
    </row>
    <row r="116" ht="15.65" customHeight="1">
      <c r="A116" s="9" t="n"/>
      <c r="B116" s="104" t="inlineStr">
        <is>
          <t>2-1471.120.18</t>
        </is>
      </c>
      <c r="C116" s="163" t="n"/>
      <c r="D116" s="9" t="inlineStr">
        <is>
          <t>亚光黑</t>
        </is>
      </c>
      <c r="E116" s="165" t="n"/>
      <c r="F116" s="165" t="n"/>
      <c r="G116" s="76" t="n">
        <v>144</v>
      </c>
      <c r="H116" s="166">
        <f>E116/G116</f>
        <v/>
      </c>
      <c r="I116" s="76" t="n">
        <v>0.85</v>
      </c>
      <c r="J116" s="76" t="n">
        <v>0.47</v>
      </c>
      <c r="K116" s="76" t="n">
        <v>0.24</v>
      </c>
      <c r="L116" s="76" t="n">
        <v>40</v>
      </c>
      <c r="M116" s="167">
        <f>H116*I116*J116*K116</f>
        <v/>
      </c>
      <c r="N116" s="171" t="n">
        <v>1296</v>
      </c>
      <c r="O116" s="167">
        <f>E116/N116</f>
        <v/>
      </c>
      <c r="P116" s="157">
        <f>H116*L116</f>
        <v/>
      </c>
      <c r="Q116" s="168">
        <f>S116*0.85</f>
        <v/>
      </c>
      <c r="R116" s="132">
        <f>E116*Q116</f>
        <v/>
      </c>
      <c r="S116" s="168" t="n">
        <v>1.681</v>
      </c>
      <c r="T116" s="19" t="n">
        <v>6.77</v>
      </c>
      <c r="U116" s="157">
        <f>E116*T116</f>
        <v/>
      </c>
      <c r="W116" s="169">
        <f>T116*1.17*1.18</f>
        <v/>
      </c>
      <c r="X116" s="157">
        <f>E116*W116</f>
        <v/>
      </c>
      <c r="AC116" s="15" t="n">
        <v>8423224835579</v>
      </c>
    </row>
    <row r="117" ht="15.65" customHeight="1">
      <c r="A117" s="9" t="n"/>
      <c r="B117" s="104" t="inlineStr">
        <is>
          <t>2-1471.120.38</t>
        </is>
      </c>
      <c r="C117" s="163" t="n"/>
      <c r="D117" s="9" t="inlineStr">
        <is>
          <t>CML</t>
        </is>
      </c>
      <c r="E117" s="165" t="n"/>
      <c r="F117" s="165" t="n"/>
      <c r="G117" s="76" t="n">
        <v>144</v>
      </c>
      <c r="H117" s="166">
        <f>E117/G117</f>
        <v/>
      </c>
      <c r="I117" s="76" t="n">
        <v>0.85</v>
      </c>
      <c r="J117" s="76" t="n">
        <v>0.47</v>
      </c>
      <c r="K117" s="76" t="n">
        <v>0.24</v>
      </c>
      <c r="L117" s="76" t="n">
        <v>40</v>
      </c>
      <c r="M117" s="167">
        <f>H117*I117*J117*K117</f>
        <v/>
      </c>
      <c r="N117" s="171" t="n">
        <v>1296</v>
      </c>
      <c r="O117" s="167">
        <f>E117/N117</f>
        <v/>
      </c>
      <c r="P117" s="157">
        <f>H117*L117</f>
        <v/>
      </c>
      <c r="Q117" s="168">
        <f>S117*0.85</f>
        <v/>
      </c>
      <c r="R117" s="132">
        <f>E117*Q117</f>
        <v/>
      </c>
      <c r="S117" s="168" t="n">
        <v>1.681</v>
      </c>
      <c r="T117" s="19" t="n">
        <v>6.77</v>
      </c>
      <c r="U117" s="157">
        <f>E117*T117</f>
        <v/>
      </c>
      <c r="W117" s="169">
        <f>T117*1.17*1.18</f>
        <v/>
      </c>
      <c r="X117" s="157">
        <f>E117*W117</f>
        <v/>
      </c>
      <c r="AC117" s="15" t="n">
        <v>8423224835586</v>
      </c>
    </row>
    <row r="118" ht="15.65" customHeight="1">
      <c r="A118" s="9" t="n"/>
      <c r="B118" s="104" t="n"/>
      <c r="C118" s="163" t="n"/>
      <c r="D118" s="9" t="n"/>
      <c r="E118" s="165" t="n"/>
      <c r="F118" s="165" t="n"/>
      <c r="H118" s="166" t="n"/>
      <c r="I118" s="167" t="n"/>
      <c r="M118" s="167" t="n"/>
      <c r="N118" s="171" t="n"/>
      <c r="O118" s="167" t="n"/>
      <c r="P118" s="157" t="n"/>
      <c r="Q118" s="168" t="n"/>
      <c r="R118" s="132" t="n"/>
      <c r="S118" s="168" t="n"/>
      <c r="T118" s="3" t="n"/>
      <c r="U118" s="157" t="n"/>
      <c r="W118" s="169">
        <f>T118*1.17*1.18</f>
        <v/>
      </c>
      <c r="X118" s="157">
        <f>E118*W118</f>
        <v/>
      </c>
      <c r="AC118" s="15" t="n"/>
    </row>
    <row r="119" ht="15.65" customHeight="1">
      <c r="A119" s="9" t="inlineStr">
        <is>
          <t>圣诞树-150</t>
        </is>
      </c>
      <c r="B119" s="104" t="inlineStr">
        <is>
          <t>2-1471.150.17</t>
        </is>
      </c>
      <c r="C119" s="163" t="n"/>
      <c r="D119" s="9" t="inlineStr">
        <is>
          <t>亚光白</t>
        </is>
      </c>
      <c r="E119" s="165" t="n"/>
      <c r="F119" s="165" t="n"/>
      <c r="G119" s="76" t="n">
        <v>144</v>
      </c>
      <c r="H119" s="166">
        <f>E119/G119</f>
        <v/>
      </c>
      <c r="I119" s="76" t="n">
        <v>0.85</v>
      </c>
      <c r="J119" s="76" t="n">
        <v>0.47</v>
      </c>
      <c r="K119" s="76" t="n">
        <v>0.24</v>
      </c>
      <c r="L119" s="76" t="n">
        <v>46</v>
      </c>
      <c r="M119" s="167">
        <f>H119*I119*J119*K119</f>
        <v/>
      </c>
      <c r="N119" s="171" t="n">
        <v>1296</v>
      </c>
      <c r="O119" s="167">
        <f>E119/N119</f>
        <v/>
      </c>
      <c r="P119" s="157">
        <f>H119*L119</f>
        <v/>
      </c>
      <c r="Q119" s="168">
        <f>S119*0.85</f>
        <v/>
      </c>
      <c r="R119" s="132">
        <f>E119*Q119</f>
        <v/>
      </c>
      <c r="S119" s="168" t="n">
        <v>1.809</v>
      </c>
      <c r="T119" s="19" t="n">
        <v>7.3</v>
      </c>
      <c r="U119" s="157">
        <f>E119*T119</f>
        <v/>
      </c>
      <c r="W119" s="169">
        <f>T119*1.17*1.18</f>
        <v/>
      </c>
      <c r="X119" s="157">
        <f>E119*W119</f>
        <v/>
      </c>
      <c r="AC119" s="15" t="n">
        <v>8423224835906</v>
      </c>
    </row>
    <row r="120" ht="15.65" customHeight="1">
      <c r="A120" s="9" t="n"/>
      <c r="B120" s="104" t="inlineStr">
        <is>
          <t>2-1471.150.18</t>
        </is>
      </c>
      <c r="C120" s="125" t="n"/>
      <c r="D120" s="9" t="inlineStr">
        <is>
          <t>亚光黑</t>
        </is>
      </c>
      <c r="E120" s="165" t="n"/>
      <c r="F120" s="165" t="n"/>
      <c r="G120" s="76" t="n">
        <v>144</v>
      </c>
      <c r="H120" s="166">
        <f>E120/G120</f>
        <v/>
      </c>
      <c r="I120" s="76" t="n">
        <v>0.85</v>
      </c>
      <c r="J120" s="76" t="n">
        <v>0.47</v>
      </c>
      <c r="K120" s="76" t="n">
        <v>0.24</v>
      </c>
      <c r="L120" s="76" t="n">
        <v>46</v>
      </c>
      <c r="M120" s="167">
        <f>H120*I120*J120*K120</f>
        <v/>
      </c>
      <c r="N120" s="171" t="n">
        <v>1296</v>
      </c>
      <c r="O120" s="167">
        <f>E120/N120</f>
        <v/>
      </c>
      <c r="P120" s="157">
        <f>H120*L120</f>
        <v/>
      </c>
      <c r="Q120" s="168">
        <f>S120*0.85</f>
        <v/>
      </c>
      <c r="R120" s="132">
        <f>E120*Q120</f>
        <v/>
      </c>
      <c r="S120" s="168" t="n">
        <v>1.809</v>
      </c>
      <c r="T120" s="19" t="n">
        <v>7.3</v>
      </c>
      <c r="U120" s="157">
        <f>E120*T120</f>
        <v/>
      </c>
      <c r="W120" s="169">
        <f>T120*1.17*1.18</f>
        <v/>
      </c>
      <c r="X120" s="157">
        <f>E120*W120</f>
        <v/>
      </c>
      <c r="AC120" s="15" t="n">
        <v>8423224835593</v>
      </c>
    </row>
    <row r="121" ht="15.65" customHeight="1">
      <c r="A121" s="9" t="n"/>
      <c r="B121" s="104" t="inlineStr">
        <is>
          <t>2-1471.150.38</t>
        </is>
      </c>
      <c r="C121" s="163" t="n"/>
      <c r="D121" s="9" t="inlineStr">
        <is>
          <t>CML</t>
        </is>
      </c>
      <c r="E121" s="165" t="n"/>
      <c r="F121" s="165" t="n"/>
      <c r="G121" s="76" t="n">
        <v>144</v>
      </c>
      <c r="H121" s="166">
        <f>E121/G121</f>
        <v/>
      </c>
      <c r="I121" s="76" t="n">
        <v>0.85</v>
      </c>
      <c r="J121" s="76" t="n">
        <v>0.47</v>
      </c>
      <c r="K121" s="76" t="n">
        <v>0.24</v>
      </c>
      <c r="L121" s="76" t="n">
        <v>46</v>
      </c>
      <c r="M121" s="167">
        <f>H121*I121*J121*K121</f>
        <v/>
      </c>
      <c r="N121" s="171" t="n">
        <v>1296</v>
      </c>
      <c r="O121" s="167">
        <f>E121/N121</f>
        <v/>
      </c>
      <c r="P121" s="157">
        <f>H121*L121</f>
        <v/>
      </c>
      <c r="Q121" s="168">
        <f>S121*0.85</f>
        <v/>
      </c>
      <c r="R121" s="132">
        <f>E121*Q121</f>
        <v/>
      </c>
      <c r="S121" s="168" t="n">
        <v>1.809</v>
      </c>
      <c r="T121" s="19" t="n">
        <v>7.3</v>
      </c>
      <c r="U121" s="157">
        <f>E121*T121</f>
        <v/>
      </c>
      <c r="W121" s="169">
        <f>T121*1.17*1.18</f>
        <v/>
      </c>
      <c r="X121" s="157">
        <f>E121*W121</f>
        <v/>
      </c>
      <c r="AC121" s="15" t="n">
        <v>8423224835609</v>
      </c>
    </row>
    <row r="122" ht="15.65" customHeight="1">
      <c r="A122" s="9" t="n"/>
      <c r="B122" s="104" t="n"/>
      <c r="C122" s="163" t="n"/>
      <c r="D122" s="9" t="n"/>
      <c r="E122" s="165" t="n"/>
      <c r="F122" s="165" t="n"/>
      <c r="H122" s="166" t="n"/>
      <c r="I122" s="167" t="n"/>
      <c r="M122" s="167" t="n"/>
      <c r="N122" s="171" t="n"/>
      <c r="O122" s="167" t="n"/>
      <c r="P122" s="157" t="n"/>
      <c r="Q122" s="168" t="n"/>
      <c r="R122" s="132" t="n"/>
      <c r="S122" s="168" t="n"/>
      <c r="T122" s="3" t="inlineStr">
        <is>
          <t>带包装</t>
        </is>
      </c>
      <c r="U122" s="157" t="n"/>
      <c r="W122" s="169" t="n"/>
      <c r="X122" s="157">
        <f>E122*W122</f>
        <v/>
      </c>
      <c r="AC122" s="15" t="n"/>
    </row>
    <row r="123" ht="15.65" customHeight="1">
      <c r="A123" s="9" t="inlineStr">
        <is>
          <t>新款-150</t>
        </is>
      </c>
      <c r="B123" s="104" t="inlineStr">
        <is>
          <t>2-1472.150.R</t>
        </is>
      </c>
      <c r="C123" s="163" t="n"/>
      <c r="D123" s="9" t="inlineStr">
        <is>
          <t>毛胚</t>
        </is>
      </c>
      <c r="E123" s="182" t="n"/>
      <c r="F123" s="165" t="n"/>
      <c r="G123" s="76" t="n">
        <v>72</v>
      </c>
      <c r="H123" s="166">
        <f>E123/G123</f>
        <v/>
      </c>
      <c r="I123" s="76" t="n">
        <v>0.59</v>
      </c>
      <c r="J123" s="76" t="n">
        <v>0.38</v>
      </c>
      <c r="K123" s="76" t="n">
        <v>0.28</v>
      </c>
      <c r="L123" s="76" t="n">
        <v>18.5</v>
      </c>
      <c r="M123" s="167">
        <f>H123*I123*J123*K123</f>
        <v/>
      </c>
      <c r="N123" s="171" t="n">
        <v>1296</v>
      </c>
      <c r="O123" s="167">
        <f>E123/N123</f>
        <v/>
      </c>
      <c r="P123" s="157">
        <f>H123*L123</f>
        <v/>
      </c>
      <c r="Q123" s="168">
        <f>S123*0.85</f>
        <v/>
      </c>
      <c r="R123" s="132">
        <f>E123*Q123</f>
        <v/>
      </c>
      <c r="S123" s="168" t="n">
        <v>0.907</v>
      </c>
      <c r="T123" s="19" t="n">
        <v>3.5</v>
      </c>
      <c r="U123" s="157">
        <f>E123*T123</f>
        <v/>
      </c>
      <c r="W123" s="169">
        <f>T123*1.17*1.18</f>
        <v/>
      </c>
      <c r="X123" s="157">
        <f>E123*W123</f>
        <v/>
      </c>
      <c r="AC123" s="15" t="n">
        <v>8423224835616</v>
      </c>
    </row>
    <row r="124" ht="15.65" customHeight="1">
      <c r="A124" s="9" t="n"/>
      <c r="B124" s="104" t="inlineStr">
        <is>
          <t>2-1472.150.17</t>
        </is>
      </c>
      <c r="C124" s="163" t="n"/>
      <c r="D124" s="9" t="inlineStr">
        <is>
          <t>亚光白</t>
        </is>
      </c>
      <c r="E124" s="182" t="n"/>
      <c r="F124" s="165" t="n"/>
      <c r="G124" s="76" t="n">
        <v>72</v>
      </c>
      <c r="H124" s="166">
        <f>E124/G124</f>
        <v/>
      </c>
      <c r="I124" s="76" t="n">
        <v>0.59</v>
      </c>
      <c r="J124" s="76" t="n">
        <v>0.38</v>
      </c>
      <c r="K124" s="76" t="n">
        <v>0.28</v>
      </c>
      <c r="L124" s="76" t="n">
        <v>18.5</v>
      </c>
      <c r="M124" s="167">
        <f>H124*I124*J124*K124</f>
        <v/>
      </c>
      <c r="N124" s="171" t="n">
        <v>1296</v>
      </c>
      <c r="O124" s="167">
        <f>E124/N124</f>
        <v/>
      </c>
      <c r="P124" s="157">
        <f>H124*L124</f>
        <v/>
      </c>
      <c r="Q124" s="168">
        <f>S124*0.85</f>
        <v/>
      </c>
      <c r="R124" s="132">
        <f>E124*Q124</f>
        <v/>
      </c>
      <c r="S124" s="168" t="n">
        <v>1.078</v>
      </c>
      <c r="T124" s="19" t="n">
        <v>4.49</v>
      </c>
      <c r="U124" s="157">
        <f>E124*T124</f>
        <v/>
      </c>
      <c r="W124" s="169">
        <f>T124*1.17*1.18</f>
        <v/>
      </c>
      <c r="X124" s="157">
        <f>E124*W124</f>
        <v/>
      </c>
      <c r="AC124" s="15" t="n">
        <v>8423224835616</v>
      </c>
    </row>
    <row r="125" ht="15.65" customHeight="1">
      <c r="A125" s="9" t="n"/>
      <c r="B125" s="104" t="inlineStr">
        <is>
          <t>2-1472.150.18</t>
        </is>
      </c>
      <c r="C125" s="163" t="inlineStr">
        <is>
          <t>001472150001802</t>
        </is>
      </c>
      <c r="D125" s="9" t="inlineStr">
        <is>
          <t>亚光黑</t>
        </is>
      </c>
      <c r="E125" s="182" t="n"/>
      <c r="F125" s="165" t="n"/>
      <c r="G125" s="76" t="n">
        <v>72</v>
      </c>
      <c r="H125" s="166">
        <f>E125/G125</f>
        <v/>
      </c>
      <c r="I125" s="76" t="n">
        <v>0.59</v>
      </c>
      <c r="J125" s="76" t="n">
        <v>0.38</v>
      </c>
      <c r="K125" s="76" t="n">
        <v>0.28</v>
      </c>
      <c r="L125" s="76" t="n">
        <v>18.5</v>
      </c>
      <c r="M125" s="167">
        <f>H125*I125*J125*K125</f>
        <v/>
      </c>
      <c r="N125" s="171" t="n">
        <v>1296</v>
      </c>
      <c r="O125" s="167">
        <f>E125/N125</f>
        <v/>
      </c>
      <c r="P125" s="157">
        <f>H125*L125</f>
        <v/>
      </c>
      <c r="Q125" s="168">
        <f>S125*0.85</f>
        <v/>
      </c>
      <c r="R125" s="132">
        <f>E125*Q125</f>
        <v/>
      </c>
      <c r="S125" s="168" t="n">
        <v>1.078</v>
      </c>
      <c r="T125" s="19" t="n">
        <v>4.49</v>
      </c>
      <c r="U125" s="157">
        <f>E125*T125</f>
        <v/>
      </c>
      <c r="W125" s="169">
        <f>T125*1.17*1.18</f>
        <v/>
      </c>
      <c r="X125" s="157">
        <f>E125*W125</f>
        <v/>
      </c>
      <c r="AC125" s="15" t="n">
        <v>8423224835623</v>
      </c>
    </row>
    <row r="126" ht="15.65" customHeight="1">
      <c r="A126" s="9" t="n"/>
      <c r="B126" s="104" t="inlineStr">
        <is>
          <t>2-1472.150.38</t>
        </is>
      </c>
      <c r="C126" s="163" t="n"/>
      <c r="D126" s="9" t="inlineStr">
        <is>
          <t>CML</t>
        </is>
      </c>
      <c r="E126" s="182" t="n"/>
      <c r="F126" s="165" t="n"/>
      <c r="G126" s="76" t="n">
        <v>72</v>
      </c>
      <c r="H126" s="166">
        <f>E126/G126</f>
        <v/>
      </c>
      <c r="I126" s="76" t="n">
        <v>0.59</v>
      </c>
      <c r="J126" s="76" t="n">
        <v>0.38</v>
      </c>
      <c r="K126" s="76" t="n">
        <v>0.28</v>
      </c>
      <c r="L126" s="76" t="n">
        <v>18.5</v>
      </c>
      <c r="M126" s="167">
        <f>H126*I126*J126*K126</f>
        <v/>
      </c>
      <c r="N126" s="171" t="n">
        <v>1296</v>
      </c>
      <c r="O126" s="167">
        <f>E126/N126</f>
        <v/>
      </c>
      <c r="P126" s="157">
        <f>H126*L126</f>
        <v/>
      </c>
      <c r="Q126" s="168">
        <f>S126*0.85</f>
        <v/>
      </c>
      <c r="R126" s="132">
        <f>E126*Q126</f>
        <v/>
      </c>
      <c r="S126" s="168" t="n">
        <v>1.078</v>
      </c>
      <c r="T126" s="19" t="n">
        <v>4.49</v>
      </c>
      <c r="U126" s="157">
        <f>E126*T126</f>
        <v/>
      </c>
      <c r="W126" s="169">
        <f>T126*1.17*1.18</f>
        <v/>
      </c>
      <c r="X126" s="157">
        <f>E126*W126</f>
        <v/>
      </c>
      <c r="AC126" s="15" t="n">
        <v>8423224835630</v>
      </c>
    </row>
    <row r="127" ht="15.65" customHeight="1">
      <c r="A127" s="9" t="n"/>
      <c r="B127" s="104" t="n"/>
      <c r="C127" s="163" t="n"/>
      <c r="D127" s="9" t="n"/>
      <c r="E127" s="182" t="n"/>
      <c r="F127" s="165" t="n"/>
      <c r="H127" s="166" t="n"/>
      <c r="I127" s="167" t="n"/>
      <c r="M127" s="167" t="n"/>
      <c r="N127" s="171" t="n"/>
      <c r="O127" s="167" t="n"/>
      <c r="P127" s="157" t="n"/>
      <c r="Q127" s="168" t="n"/>
      <c r="R127" s="132" t="n"/>
      <c r="S127" s="168" t="n"/>
      <c r="T127" s="3" t="n"/>
      <c r="U127" s="157" t="n"/>
      <c r="W127" s="169">
        <f>T127*1.17*1.18</f>
        <v/>
      </c>
      <c r="X127" s="157">
        <f>E127*W127</f>
        <v/>
      </c>
      <c r="AC127" s="15" t="n"/>
    </row>
    <row r="128" ht="15.65" customHeight="1">
      <c r="A128" s="9" t="inlineStr">
        <is>
          <t>新款-200</t>
        </is>
      </c>
      <c r="B128" s="104" t="inlineStr">
        <is>
          <t>2-1472.200.R</t>
        </is>
      </c>
      <c r="C128" s="125" t="n"/>
      <c r="D128" s="9" t="inlineStr">
        <is>
          <t>毛胚</t>
        </is>
      </c>
      <c r="E128" s="182" t="n"/>
      <c r="F128" s="165" t="n"/>
      <c r="G128" s="76" t="n">
        <v>72</v>
      </c>
      <c r="H128" s="166">
        <f>E128/G128</f>
        <v/>
      </c>
      <c r="I128" s="76" t="n">
        <v>0.61</v>
      </c>
      <c r="J128" s="76" t="n">
        <v>0.48</v>
      </c>
      <c r="K128" s="76" t="n">
        <v>0.28</v>
      </c>
      <c r="L128" s="76" t="n">
        <v>24</v>
      </c>
      <c r="M128" s="167">
        <f>H128*I128*J128*K128</f>
        <v/>
      </c>
      <c r="N128" s="171" t="n">
        <v>1296</v>
      </c>
      <c r="O128" s="167">
        <f>E128/N128</f>
        <v/>
      </c>
      <c r="P128" s="157">
        <f>H128*L128</f>
        <v/>
      </c>
      <c r="Q128" s="168">
        <f>S128*0.85</f>
        <v/>
      </c>
      <c r="R128" s="132">
        <f>E128*Q128</f>
        <v/>
      </c>
      <c r="S128" s="168" t="n">
        <v>0.976</v>
      </c>
      <c r="T128" s="19" t="n">
        <v>3.7</v>
      </c>
      <c r="U128" s="157">
        <f>E128*T128</f>
        <v/>
      </c>
      <c r="W128" s="169">
        <f>T128*1.17*1.18</f>
        <v/>
      </c>
      <c r="X128" s="157">
        <f>E128*W128</f>
        <v/>
      </c>
      <c r="AC128" s="15" t="n">
        <v>8423224835647</v>
      </c>
    </row>
    <row r="129" ht="15.65" customHeight="1">
      <c r="A129" s="9" t="n"/>
      <c r="B129" s="104" t="inlineStr">
        <is>
          <t>2-1472.200.17</t>
        </is>
      </c>
      <c r="C129" s="125" t="inlineStr">
        <is>
          <t>001472200001702</t>
        </is>
      </c>
      <c r="D129" s="9" t="inlineStr">
        <is>
          <t>亚光白</t>
        </is>
      </c>
      <c r="E129" s="182" t="n"/>
      <c r="F129" s="165" t="n"/>
      <c r="G129" s="76" t="n">
        <v>72</v>
      </c>
      <c r="H129" s="166">
        <f>E129/G129</f>
        <v/>
      </c>
      <c r="I129" s="76" t="n">
        <v>0.61</v>
      </c>
      <c r="J129" s="76" t="n">
        <v>0.48</v>
      </c>
      <c r="K129" s="76" t="n">
        <v>0.28</v>
      </c>
      <c r="L129" s="76" t="n">
        <v>24</v>
      </c>
      <c r="M129" s="167">
        <f>H129*I129*J129*K129</f>
        <v/>
      </c>
      <c r="N129" s="171" t="n">
        <v>1296</v>
      </c>
      <c r="O129" s="167">
        <f>E129/N129</f>
        <v/>
      </c>
      <c r="P129" s="157">
        <f>H129*L129</f>
        <v/>
      </c>
      <c r="Q129" s="168">
        <f>S129*0.85</f>
        <v/>
      </c>
      <c r="R129" s="132">
        <f>E129*Q129</f>
        <v/>
      </c>
      <c r="S129" s="168" t="n">
        <v>1.155</v>
      </c>
      <c r="T129" s="19" t="n">
        <v>4.71</v>
      </c>
      <c r="U129" s="157">
        <f>E129*T129</f>
        <v/>
      </c>
      <c r="W129" s="169">
        <f>T129*1.17*1.18</f>
        <v/>
      </c>
      <c r="X129" s="157">
        <f>E129*W129</f>
        <v/>
      </c>
      <c r="AC129" s="15" t="n">
        <v>8423224835647</v>
      </c>
    </row>
    <row r="130" ht="15.65" customHeight="1">
      <c r="A130" s="9" t="n"/>
      <c r="B130" s="104" t="inlineStr">
        <is>
          <t>2-1472.200.18</t>
        </is>
      </c>
      <c r="C130" s="125" t="inlineStr">
        <is>
          <t>001472200001802</t>
        </is>
      </c>
      <c r="D130" s="9" t="inlineStr">
        <is>
          <t>亚光黑</t>
        </is>
      </c>
      <c r="E130" s="182" t="n"/>
      <c r="F130" s="165" t="n"/>
      <c r="G130" s="76" t="n">
        <v>72</v>
      </c>
      <c r="H130" s="166">
        <f>E130/G130</f>
        <v/>
      </c>
      <c r="I130" s="76" t="n">
        <v>0.61</v>
      </c>
      <c r="J130" s="76" t="n">
        <v>0.48</v>
      </c>
      <c r="K130" s="76" t="n">
        <v>0.28</v>
      </c>
      <c r="L130" s="76" t="n">
        <v>24</v>
      </c>
      <c r="M130" s="167">
        <f>H130*I130*J130*K130</f>
        <v/>
      </c>
      <c r="N130" s="171" t="n">
        <v>1296</v>
      </c>
      <c r="O130" s="167">
        <f>E130/N130</f>
        <v/>
      </c>
      <c r="P130" s="157">
        <f>H130*L130</f>
        <v/>
      </c>
      <c r="Q130" s="168">
        <f>S130*0.85</f>
        <v/>
      </c>
      <c r="R130" s="132">
        <f>E130*Q130</f>
        <v/>
      </c>
      <c r="S130" s="168" t="n">
        <v>1.155</v>
      </c>
      <c r="T130" s="19" t="n">
        <v>4.71</v>
      </c>
      <c r="U130" s="157">
        <f>E130*T130</f>
        <v/>
      </c>
      <c r="W130" s="169">
        <f>T130*1.17*1.18</f>
        <v/>
      </c>
      <c r="X130" s="157">
        <f>E130*W130</f>
        <v/>
      </c>
      <c r="AC130" s="15" t="n">
        <v>8423224835654</v>
      </c>
    </row>
    <row r="131" ht="15.65" customHeight="1">
      <c r="A131" s="9" t="n"/>
      <c r="B131" s="104" t="inlineStr">
        <is>
          <t>2-1472.200.38</t>
        </is>
      </c>
      <c r="C131" s="163" t="n"/>
      <c r="D131" s="9" t="inlineStr">
        <is>
          <t>CML</t>
        </is>
      </c>
      <c r="E131" s="165" t="n"/>
      <c r="F131" s="165" t="n"/>
      <c r="G131" s="76" t="n">
        <v>72</v>
      </c>
      <c r="H131" s="166">
        <f>E131/G131</f>
        <v/>
      </c>
      <c r="I131" s="76" t="n">
        <v>0.61</v>
      </c>
      <c r="J131" s="76" t="n">
        <v>0.48</v>
      </c>
      <c r="K131" s="76" t="n">
        <v>0.28</v>
      </c>
      <c r="L131" s="76" t="n">
        <v>24</v>
      </c>
      <c r="M131" s="167">
        <f>H131*I131*J131*K131</f>
        <v/>
      </c>
      <c r="N131" s="171" t="n">
        <v>1296</v>
      </c>
      <c r="O131" s="167">
        <f>E131/N131</f>
        <v/>
      </c>
      <c r="P131" s="157">
        <f>H131*L131</f>
        <v/>
      </c>
      <c r="Q131" s="168">
        <f>S131*0.85</f>
        <v/>
      </c>
      <c r="R131" s="132">
        <f>E131*Q131</f>
        <v/>
      </c>
      <c r="S131" s="168" t="n">
        <v>1.155</v>
      </c>
      <c r="T131" s="19" t="n">
        <v>4.71</v>
      </c>
      <c r="U131" s="157">
        <f>E131*T131</f>
        <v/>
      </c>
      <c r="W131" s="169">
        <f>T131*1.17*1.18</f>
        <v/>
      </c>
      <c r="X131" s="157">
        <f>E131*W131</f>
        <v/>
      </c>
      <c r="AC131" s="15" t="n">
        <v>8423224835661</v>
      </c>
    </row>
    <row r="132" ht="15.65" customHeight="1">
      <c r="A132" s="9" t="n"/>
      <c r="B132" s="104" t="n"/>
      <c r="C132" s="163" t="n"/>
      <c r="D132" s="9" t="n"/>
      <c r="E132" s="183" t="n"/>
      <c r="F132" s="165" t="n"/>
      <c r="H132" s="184" t="n"/>
      <c r="M132" s="185" t="n"/>
      <c r="N132" s="171" t="n"/>
      <c r="O132" s="167" t="n"/>
      <c r="P132" s="60" t="n"/>
      <c r="Q132" s="27" t="n"/>
      <c r="R132" s="28" t="n"/>
      <c r="S132" s="132" t="n"/>
      <c r="U132" s="60" t="n"/>
      <c r="AC132" s="15" t="n"/>
    </row>
    <row r="133" ht="15.65" customHeight="1">
      <c r="A133" s="9" t="n"/>
      <c r="B133" s="104" t="n"/>
      <c r="C133" s="163" t="n"/>
      <c r="D133" s="9" t="n"/>
      <c r="E133" s="80">
        <f>SUM(E5:E132)</f>
        <v/>
      </c>
      <c r="F133" s="80" t="n"/>
      <c r="H133" s="166">
        <f>SUM(H5:H132)</f>
        <v/>
      </c>
      <c r="I133" s="157" t="n"/>
      <c r="J133" s="157" t="n"/>
      <c r="K133" s="157" t="n"/>
      <c r="L133" s="157" t="n"/>
      <c r="M133" s="186">
        <f>SUM(M5:M132)</f>
        <v/>
      </c>
      <c r="N133" s="171" t="n"/>
      <c r="O133" s="157">
        <f>SUM(O6:O132)</f>
        <v/>
      </c>
      <c r="P133" s="157">
        <f>SUM(P5:P132)</f>
        <v/>
      </c>
      <c r="Q133" s="161" t="n"/>
      <c r="R133" s="132">
        <f>SUM(R5:R132)</f>
        <v/>
      </c>
      <c r="S133" s="132" t="n"/>
      <c r="U133" s="157">
        <f>SUM(U5:U132)</f>
        <v/>
      </c>
      <c r="X133" s="157">
        <f>SUM(X5:X132)</f>
        <v/>
      </c>
      <c r="AC133" s="15" t="n"/>
    </row>
    <row r="134" ht="15.65" customHeight="1">
      <c r="A134" s="9" t="n"/>
      <c r="B134" s="104" t="n"/>
      <c r="C134" s="163" t="n"/>
      <c r="D134" s="9" t="n"/>
      <c r="E134" s="80" t="n"/>
      <c r="F134" s="80" t="n"/>
      <c r="H134" s="166" t="n"/>
      <c r="I134" s="157" t="n"/>
      <c r="J134" s="157" t="n"/>
      <c r="K134" s="157" t="n"/>
      <c r="L134" s="157" t="n"/>
      <c r="M134" s="157" t="n"/>
      <c r="N134" s="171" t="n"/>
      <c r="O134" s="121" t="inlineStr">
        <is>
          <t>PLT</t>
        </is>
      </c>
      <c r="P134" s="157" t="n"/>
      <c r="Q134" s="129" t="inlineStr">
        <is>
          <t>-15%</t>
        </is>
      </c>
      <c r="R134" s="60" t="n"/>
      <c r="S134" s="60" t="n"/>
      <c r="T134" s="93" t="inlineStr">
        <is>
          <t>加38.06%</t>
        </is>
      </c>
      <c r="U134" s="60">
        <f>U133*0.3806</f>
        <v/>
      </c>
      <c r="V134" s="76" t="inlineStr">
        <is>
          <t>2021.5.总增加为1.17*1.18=1.3806</t>
        </is>
      </c>
      <c r="X134" s="76">
        <f>U137/R135</f>
        <v/>
      </c>
      <c r="AC134" s="15" t="n"/>
    </row>
    <row r="135" ht="15.65" customHeight="1">
      <c r="A135" s="9" t="n"/>
      <c r="B135" s="104" t="n"/>
      <c r="C135" s="163" t="n"/>
      <c r="D135" s="9" t="n"/>
      <c r="E135" s="80" t="n"/>
      <c r="F135" s="80" t="n"/>
      <c r="H135" s="166" t="n"/>
      <c r="I135" s="157" t="n"/>
      <c r="J135" s="157" t="n"/>
      <c r="K135" s="157" t="n"/>
      <c r="L135" s="157" t="n"/>
      <c r="M135" s="157" t="n"/>
      <c r="N135" s="171" t="n"/>
      <c r="O135" s="157" t="n"/>
      <c r="P135" s="157" t="n"/>
      <c r="Q135" s="161" t="n"/>
      <c r="R135" s="117">
        <f>SUM(R133:R134)</f>
        <v/>
      </c>
      <c r="S135" s="117" t="n"/>
      <c r="U135" s="157">
        <f>U133+U134</f>
        <v/>
      </c>
      <c r="AC135" s="15" t="n"/>
    </row>
    <row r="136" ht="15.65" customHeight="1">
      <c r="B136" s="104" t="n"/>
      <c r="C136" s="163" t="n"/>
      <c r="D136" s="9" t="n"/>
      <c r="E136" s="165" t="n"/>
      <c r="F136" s="165" t="n"/>
      <c r="H136" s="166" t="n"/>
      <c r="M136" s="167" t="n"/>
      <c r="N136" s="171" t="n"/>
      <c r="O136" s="167" t="n"/>
      <c r="P136" s="157" t="n"/>
      <c r="Q136" s="161" t="n"/>
      <c r="R136" s="132" t="n"/>
      <c r="S136" s="132" t="n"/>
      <c r="T136" s="129" t="inlineStr">
        <is>
          <t>-8%</t>
        </is>
      </c>
      <c r="U136" s="60">
        <f>-U135*0.08</f>
        <v/>
      </c>
      <c r="AC136" s="15" t="n"/>
    </row>
    <row r="137" ht="15.65" customHeight="1">
      <c r="A137" s="9" t="n"/>
      <c r="B137" s="104" t="n"/>
      <c r="C137" s="163" t="n"/>
      <c r="D137" s="9" t="n"/>
      <c r="E137" s="165" t="n"/>
      <c r="F137" s="165" t="n"/>
      <c r="H137" s="166" t="n"/>
      <c r="M137" s="167" t="n"/>
      <c r="N137" s="171" t="n"/>
      <c r="O137" s="167" t="n"/>
      <c r="P137" s="157" t="n"/>
      <c r="Q137" s="161" t="n"/>
      <c r="R137" s="132" t="n"/>
      <c r="S137" s="132" t="n"/>
      <c r="U137" s="157">
        <f>U135+U136</f>
        <v/>
      </c>
      <c r="AC137" s="15" t="n"/>
    </row>
    <row r="138" ht="15.65" customHeight="1">
      <c r="A138" s="9" t="n"/>
      <c r="B138" s="104" t="n"/>
      <c r="C138" s="163" t="n"/>
      <c r="D138" s="9" t="n"/>
      <c r="E138" s="165" t="n"/>
      <c r="F138" s="165" t="n"/>
      <c r="H138" s="166" t="n"/>
      <c r="M138" s="167" t="n"/>
      <c r="N138" s="171" t="n"/>
      <c r="O138" s="167" t="n"/>
      <c r="P138" s="157" t="n"/>
      <c r="Q138" s="161" t="n"/>
      <c r="R138" s="132" t="n"/>
      <c r="S138" s="132" t="n"/>
      <c r="T138" s="133" t="n"/>
      <c r="U138" s="60" t="n"/>
      <c r="AC138" s="15" t="n"/>
    </row>
    <row r="139" ht="15.65" customHeight="1">
      <c r="A139" s="9" t="n"/>
      <c r="B139" s="104" t="n"/>
      <c r="C139" s="163" t="n"/>
      <c r="D139" s="9" t="n"/>
      <c r="E139" s="165" t="n"/>
      <c r="F139" s="165" t="n"/>
      <c r="H139" s="166" t="n"/>
      <c r="M139" s="167" t="n"/>
      <c r="N139" s="171" t="n"/>
      <c r="O139" s="167" t="n"/>
      <c r="P139" s="157" t="n"/>
      <c r="Q139" s="161" t="n"/>
      <c r="R139" s="132" t="n"/>
      <c r="S139" s="132" t="n"/>
      <c r="U139" s="157">
        <f>SUM(U137:U138)</f>
        <v/>
      </c>
      <c r="W139" s="76">
        <f>U139/R135</f>
        <v/>
      </c>
      <c r="AC139" s="15" t="n"/>
    </row>
    <row r="140" ht="15.65" customHeight="1">
      <c r="A140" s="142" t="inlineStr">
        <is>
          <t>几何型架子</t>
        </is>
      </c>
      <c r="B140" s="104" t="n"/>
      <c r="C140" s="163" t="n"/>
      <c r="D140" s="9" t="n"/>
      <c r="E140" s="165" t="n"/>
      <c r="F140" s="165" t="n"/>
      <c r="H140" s="166" t="n"/>
      <c r="M140" s="167" t="n"/>
      <c r="N140" s="171" t="n"/>
      <c r="O140" s="167" t="n"/>
      <c r="P140" s="157" t="n"/>
      <c r="Q140" s="161" t="n"/>
      <c r="R140" s="132" t="n"/>
      <c r="S140" s="132" t="n"/>
      <c r="U140" s="157" t="n"/>
      <c r="AC140" s="15" t="n"/>
    </row>
    <row r="141" ht="15.65" customHeight="1">
      <c r="A141" s="163" t="inlineStr">
        <is>
          <t>1070方架子</t>
        </is>
      </c>
      <c r="B141" s="160" t="inlineStr">
        <is>
          <t>2-1070.2010.17P</t>
        </is>
      </c>
      <c r="C141" s="9" t="inlineStr">
        <is>
          <t>001070201017P02</t>
        </is>
      </c>
      <c r="D141" s="140" t="inlineStr">
        <is>
          <t>砂白</t>
        </is>
      </c>
      <c r="E141" s="165" t="n"/>
      <c r="F141" s="165" t="n"/>
      <c r="G141" s="76" t="n">
        <v>44</v>
      </c>
      <c r="H141" s="166">
        <f>E141/G141</f>
        <v/>
      </c>
      <c r="I141" s="186" t="n">
        <v>0.435</v>
      </c>
      <c r="J141" s="186" t="n">
        <v>0.402</v>
      </c>
      <c r="K141" s="186" t="n">
        <v>0.237</v>
      </c>
      <c r="L141" s="166" t="n">
        <v>21</v>
      </c>
      <c r="M141" s="167">
        <f>H141*I141*J141*K141</f>
        <v/>
      </c>
      <c r="N141" s="171" t="n">
        <v>1056</v>
      </c>
      <c r="O141" s="167">
        <f>E141/N141</f>
        <v/>
      </c>
      <c r="P141" s="157" t="n"/>
      <c r="Q141" s="161" t="n">
        <v>0.98</v>
      </c>
      <c r="R141" s="132">
        <f>E141*Q141</f>
        <v/>
      </c>
      <c r="S141" s="132" t="n"/>
      <c r="T141" s="76" t="n">
        <v>6.82</v>
      </c>
      <c r="U141" s="157">
        <f>E141*T141</f>
        <v/>
      </c>
      <c r="AC141" s="15" t="n"/>
    </row>
    <row r="142" ht="15.65" customHeight="1">
      <c r="B142" s="160" t="inlineStr">
        <is>
          <t>2-1070.2010.18P</t>
        </is>
      </c>
      <c r="C142" s="163" t="inlineStr">
        <is>
          <t>001070201018P02</t>
        </is>
      </c>
      <c r="D142" s="140" t="inlineStr">
        <is>
          <t>砂黑</t>
        </is>
      </c>
      <c r="E142" s="165" t="n"/>
      <c r="F142" s="165" t="n"/>
      <c r="G142" s="76" t="n">
        <v>44</v>
      </c>
      <c r="H142" s="166">
        <f>E142/G142</f>
        <v/>
      </c>
      <c r="I142" s="186" t="n">
        <v>0.435</v>
      </c>
      <c r="J142" s="186" t="n">
        <v>0.402</v>
      </c>
      <c r="K142" s="186" t="n">
        <v>0.237</v>
      </c>
      <c r="L142" s="166" t="n">
        <v>21</v>
      </c>
      <c r="M142" s="167">
        <f>H142*I142*J142*K142</f>
        <v/>
      </c>
      <c r="N142" s="171" t="n">
        <v>1056</v>
      </c>
      <c r="O142" s="167">
        <f>E142/N142</f>
        <v/>
      </c>
      <c r="P142" s="157" t="n"/>
      <c r="Q142" s="161" t="n">
        <v>0.98</v>
      </c>
      <c r="R142" s="132">
        <f>E142*Q142</f>
        <v/>
      </c>
      <c r="S142" s="132" t="n"/>
      <c r="T142" s="76" t="n">
        <v>6.82</v>
      </c>
      <c r="U142" s="157">
        <f>E142*T142</f>
        <v/>
      </c>
      <c r="AC142" s="15" t="n"/>
    </row>
    <row r="143" ht="15.65" customHeight="1">
      <c r="B143" s="160" t="inlineStr">
        <is>
          <t>2-1070.2512.17P</t>
        </is>
      </c>
      <c r="C143" s="9" t="inlineStr">
        <is>
          <t>001070251217P02</t>
        </is>
      </c>
      <c r="D143" s="140" t="inlineStr">
        <is>
          <t>砂白</t>
        </is>
      </c>
      <c r="E143" s="165" t="n"/>
      <c r="F143" s="165" t="n"/>
      <c r="G143" s="76" t="n">
        <v>36</v>
      </c>
      <c r="H143" s="166">
        <f>E143/G143</f>
        <v/>
      </c>
      <c r="I143" s="186" t="n">
        <v>0.795</v>
      </c>
      <c r="J143" s="186" t="n">
        <v>0.405</v>
      </c>
      <c r="K143" s="186" t="n">
        <v>0.15</v>
      </c>
      <c r="L143" s="166" t="n">
        <v>20</v>
      </c>
      <c r="M143" s="167">
        <f>H143*I143*J143*K143</f>
        <v/>
      </c>
      <c r="N143" s="171" t="n">
        <v>648</v>
      </c>
      <c r="O143" s="167">
        <f>E143/N143</f>
        <v/>
      </c>
      <c r="P143" s="157" t="n"/>
      <c r="Q143" s="161" t="n">
        <v>1.12</v>
      </c>
      <c r="R143" s="132">
        <f>E143*Q143</f>
        <v/>
      </c>
      <c r="S143" s="132" t="n"/>
      <c r="T143" s="157" t="n">
        <v>7.8</v>
      </c>
      <c r="U143" s="157">
        <f>E143*T143</f>
        <v/>
      </c>
      <c r="AC143" s="15" t="n"/>
    </row>
    <row r="144" ht="15.65" customHeight="1">
      <c r="B144" s="160" t="inlineStr">
        <is>
          <t>2-1070.2512.18P</t>
        </is>
      </c>
      <c r="C144" s="163" t="inlineStr">
        <is>
          <t>001070251218P02</t>
        </is>
      </c>
      <c r="D144" s="140" t="inlineStr">
        <is>
          <t>砂黑</t>
        </is>
      </c>
      <c r="E144" s="165" t="n"/>
      <c r="F144" s="165" t="n"/>
      <c r="G144" s="76" t="n">
        <v>36</v>
      </c>
      <c r="H144" s="166">
        <f>E144/G144</f>
        <v/>
      </c>
      <c r="I144" s="186" t="n">
        <v>0.795</v>
      </c>
      <c r="J144" s="186" t="n">
        <v>0.405</v>
      </c>
      <c r="K144" s="186" t="n">
        <v>0.15</v>
      </c>
      <c r="L144" s="166" t="n">
        <v>20</v>
      </c>
      <c r="M144" s="167">
        <f>H144*I144*J144*K144</f>
        <v/>
      </c>
      <c r="N144" s="171" t="n">
        <v>648</v>
      </c>
      <c r="O144" s="167">
        <f>E144/N144</f>
        <v/>
      </c>
      <c r="P144" s="157" t="n"/>
      <c r="Q144" s="161" t="n">
        <v>1.12</v>
      </c>
      <c r="R144" s="132">
        <f>E144*Q144</f>
        <v/>
      </c>
      <c r="S144" s="132" t="n"/>
      <c r="T144" s="157" t="n">
        <v>7.8</v>
      </c>
      <c r="U144" s="157">
        <f>E144*T144</f>
        <v/>
      </c>
      <c r="AC144" s="15" t="n"/>
    </row>
    <row r="145" ht="15.65" customHeight="1">
      <c r="B145" s="160" t="inlineStr">
        <is>
          <t>2-1070.2520.17P</t>
        </is>
      </c>
      <c r="C145" s="9" t="inlineStr">
        <is>
          <t>001070252017P02</t>
        </is>
      </c>
      <c r="D145" s="140" t="inlineStr">
        <is>
          <t>砂白</t>
        </is>
      </c>
      <c r="E145" s="165" t="n"/>
      <c r="F145" s="165" t="n"/>
      <c r="G145" s="76" t="n">
        <v>33</v>
      </c>
      <c r="H145" s="166">
        <f>E145/G145</f>
        <v/>
      </c>
      <c r="I145" s="186" t="n">
        <v>0.795</v>
      </c>
      <c r="J145" s="186" t="n">
        <v>0.395</v>
      </c>
      <c r="K145" s="186" t="n">
        <v>0.225</v>
      </c>
      <c r="L145" s="166" t="n">
        <v>24</v>
      </c>
      <c r="M145" s="167">
        <f>H145*I145*J145*K145</f>
        <v/>
      </c>
      <c r="N145" s="171" t="n">
        <v>396</v>
      </c>
      <c r="O145" s="167">
        <f>E145/N145</f>
        <v/>
      </c>
      <c r="P145" s="157" t="n"/>
      <c r="Q145" s="161" t="n">
        <v>1.35</v>
      </c>
      <c r="R145" s="132">
        <f>E145*Q145</f>
        <v/>
      </c>
      <c r="S145" s="132" t="n"/>
      <c r="T145" s="157" t="n">
        <v>9.380000000000001</v>
      </c>
      <c r="U145" s="157">
        <f>E145*T145</f>
        <v/>
      </c>
      <c r="AC145" s="15" t="n"/>
    </row>
    <row r="146" ht="15.65" customHeight="1">
      <c r="B146" s="160" t="inlineStr">
        <is>
          <t>2-1070.2520.18P</t>
        </is>
      </c>
      <c r="C146" s="163" t="inlineStr">
        <is>
          <t>001070252018P02</t>
        </is>
      </c>
      <c r="D146" s="140" t="inlineStr">
        <is>
          <t>砂黑</t>
        </is>
      </c>
      <c r="E146" s="165" t="n"/>
      <c r="F146" s="165" t="n"/>
      <c r="G146" s="76" t="n">
        <v>33</v>
      </c>
      <c r="H146" s="166">
        <f>E146/G146</f>
        <v/>
      </c>
      <c r="I146" s="186" t="n">
        <v>0.795</v>
      </c>
      <c r="J146" s="186" t="n">
        <v>0.395</v>
      </c>
      <c r="K146" s="186" t="n">
        <v>0.225</v>
      </c>
      <c r="L146" s="166" t="n">
        <v>24</v>
      </c>
      <c r="M146" s="167">
        <f>H146*I146*J146*K146</f>
        <v/>
      </c>
      <c r="N146" s="171" t="n">
        <v>396</v>
      </c>
      <c r="O146" s="167">
        <f>E146/N146</f>
        <v/>
      </c>
      <c r="P146" s="157" t="n"/>
      <c r="Q146" s="161" t="n">
        <v>1.35</v>
      </c>
      <c r="R146" s="132">
        <f>E146*Q146</f>
        <v/>
      </c>
      <c r="S146" s="132" t="n"/>
      <c r="T146" s="157" t="n">
        <v>9.380000000000001</v>
      </c>
      <c r="U146" s="157">
        <f>E146*T146</f>
        <v/>
      </c>
      <c r="AC146" s="15" t="n"/>
    </row>
    <row r="147" ht="15.65" customHeight="1">
      <c r="B147" s="160" t="inlineStr">
        <is>
          <t>2-1070.3020.17P</t>
        </is>
      </c>
      <c r="C147" s="9" t="inlineStr">
        <is>
          <t>001070302017P02</t>
        </is>
      </c>
      <c r="D147" s="140" t="inlineStr">
        <is>
          <t>砂白</t>
        </is>
      </c>
      <c r="E147" s="165" t="n"/>
      <c r="F147" s="165" t="n"/>
      <c r="G147" s="76" t="n">
        <v>20</v>
      </c>
      <c r="H147" s="166">
        <f>E147/G147</f>
        <v/>
      </c>
      <c r="I147" s="186" t="n">
        <v>0.63</v>
      </c>
      <c r="J147" s="186" t="n">
        <v>0.43</v>
      </c>
      <c r="K147" s="186" t="n">
        <v>0.185</v>
      </c>
      <c r="L147" s="166" t="n">
        <v>16.5</v>
      </c>
      <c r="M147" s="167">
        <f>H147*I147*J147*K147</f>
        <v/>
      </c>
      <c r="N147" s="171" t="n">
        <v>400</v>
      </c>
      <c r="O147" s="167">
        <f>E147/N147</f>
        <v/>
      </c>
      <c r="P147" s="157" t="n"/>
      <c r="Q147" s="161" t="n">
        <v>1.45</v>
      </c>
      <c r="R147" s="132">
        <f>E147*Q147</f>
        <v/>
      </c>
      <c r="S147" s="132" t="n"/>
      <c r="T147" s="157" t="n">
        <v>9.5</v>
      </c>
      <c r="U147" s="157">
        <f>E147*T147</f>
        <v/>
      </c>
      <c r="AC147" s="15" t="n"/>
    </row>
    <row r="148" ht="15.65" customHeight="1">
      <c r="B148" s="160" t="inlineStr">
        <is>
          <t>2-1070.3020.18P</t>
        </is>
      </c>
      <c r="C148" s="163" t="inlineStr">
        <is>
          <t>001070302018P02</t>
        </is>
      </c>
      <c r="D148" s="140" t="inlineStr">
        <is>
          <t>砂黑</t>
        </is>
      </c>
      <c r="E148" s="165" t="n"/>
      <c r="F148" s="165" t="n"/>
      <c r="G148" s="76" t="n">
        <v>20</v>
      </c>
      <c r="H148" s="166">
        <f>E148/G148</f>
        <v/>
      </c>
      <c r="I148" s="186" t="n">
        <v>0.63</v>
      </c>
      <c r="J148" s="186" t="n">
        <v>0.43</v>
      </c>
      <c r="K148" s="186" t="n">
        <v>0.185</v>
      </c>
      <c r="L148" s="166" t="n">
        <v>16.5</v>
      </c>
      <c r="M148" s="167">
        <f>H148*I148*J148*K148</f>
        <v/>
      </c>
      <c r="N148" s="171" t="n">
        <v>400</v>
      </c>
      <c r="O148" s="167">
        <f>E148/N148</f>
        <v/>
      </c>
      <c r="P148" s="157" t="n"/>
      <c r="Q148" s="161" t="n">
        <v>1.45</v>
      </c>
      <c r="R148" s="132">
        <f>E148*Q148</f>
        <v/>
      </c>
      <c r="S148" s="132" t="n"/>
      <c r="T148" s="157" t="n">
        <v>9.5</v>
      </c>
      <c r="U148" s="157">
        <f>E148*T148</f>
        <v/>
      </c>
      <c r="AC148" s="15" t="n"/>
    </row>
    <row r="149" ht="15.65" customHeight="1">
      <c r="A149" s="163" t="inlineStr">
        <is>
          <t>1079三角架子</t>
        </is>
      </c>
      <c r="B149" s="160" t="inlineStr">
        <is>
          <t>2-1079.2520.17P</t>
        </is>
      </c>
      <c r="C149" s="9" t="inlineStr">
        <is>
          <t>001079252017P02</t>
        </is>
      </c>
      <c r="D149" s="140" t="inlineStr">
        <is>
          <t>砂白</t>
        </is>
      </c>
      <c r="E149" s="165" t="n"/>
      <c r="F149" s="165" t="n"/>
      <c r="G149" s="76" t="n">
        <v>30</v>
      </c>
      <c r="H149" s="166">
        <f>E149/G149</f>
        <v/>
      </c>
      <c r="I149" s="186" t="n">
        <v>0.82</v>
      </c>
      <c r="J149" s="186" t="n">
        <v>0.227</v>
      </c>
      <c r="K149" s="186" t="n">
        <v>0.355</v>
      </c>
      <c r="L149" s="166" t="n">
        <v>19</v>
      </c>
      <c r="M149" s="167">
        <f>H149*I149*J149*K149</f>
        <v/>
      </c>
      <c r="N149" s="171" t="n">
        <v>450</v>
      </c>
      <c r="O149" s="167">
        <f>E149/N149</f>
        <v/>
      </c>
      <c r="P149" s="157" t="n"/>
      <c r="Q149" s="161" t="n">
        <v>1.3</v>
      </c>
      <c r="R149" s="132">
        <f>E149*Q149</f>
        <v/>
      </c>
      <c r="S149" s="157" t="n">
        <v>1.23</v>
      </c>
      <c r="T149" s="157" t="n">
        <v>8.800000000000001</v>
      </c>
      <c r="U149" s="157">
        <f>E149*T149</f>
        <v/>
      </c>
      <c r="AC149" s="15" t="n"/>
    </row>
    <row r="150" ht="15.65" customHeight="1">
      <c r="B150" s="160" t="inlineStr">
        <is>
          <t>2-1079.2520.18P</t>
        </is>
      </c>
      <c r="C150" s="163" t="inlineStr">
        <is>
          <t>001079252018P02</t>
        </is>
      </c>
      <c r="D150" s="140" t="inlineStr">
        <is>
          <t>砂黑</t>
        </is>
      </c>
      <c r="E150" s="165" t="n"/>
      <c r="F150" s="165" t="n"/>
      <c r="G150" s="76" t="n">
        <v>30</v>
      </c>
      <c r="H150" s="166">
        <f>E150/G150</f>
        <v/>
      </c>
      <c r="I150" s="186" t="n">
        <v>0.82</v>
      </c>
      <c r="J150" s="186" t="n">
        <v>0.227</v>
      </c>
      <c r="K150" s="186" t="n">
        <v>0.355</v>
      </c>
      <c r="L150" s="166" t="n">
        <v>19</v>
      </c>
      <c r="M150" s="167">
        <f>H150*I150*J150*K150</f>
        <v/>
      </c>
      <c r="N150" s="171" t="n">
        <v>450</v>
      </c>
      <c r="O150" s="167">
        <f>E150/N150</f>
        <v/>
      </c>
      <c r="P150" s="157" t="n"/>
      <c r="Q150" s="161" t="n">
        <v>1.3</v>
      </c>
      <c r="R150" s="132">
        <f>E150*Q150</f>
        <v/>
      </c>
      <c r="S150" s="157" t="n">
        <v>1.23</v>
      </c>
      <c r="T150" s="157" t="n">
        <v>8.800000000000001</v>
      </c>
      <c r="U150" s="157">
        <f>E150*T150</f>
        <v/>
      </c>
      <c r="AC150" s="15" t="n"/>
    </row>
    <row r="151" ht="15.65" customHeight="1">
      <c r="A151" s="163" t="inlineStr">
        <is>
          <t>1071L型架子</t>
        </is>
      </c>
      <c r="B151" s="163" t="inlineStr">
        <is>
          <t>2-1071.200.17P</t>
        </is>
      </c>
      <c r="C151" s="9" t="n"/>
      <c r="D151" s="140" t="inlineStr">
        <is>
          <t>砂白</t>
        </is>
      </c>
      <c r="E151" s="165" t="n"/>
      <c r="F151" s="165" t="n"/>
      <c r="H151" s="166" t="n"/>
      <c r="K151" s="167" t="n"/>
      <c r="M151" s="167" t="n"/>
      <c r="N151" s="171" t="n"/>
      <c r="O151" s="167" t="n"/>
      <c r="P151" s="157" t="n"/>
      <c r="Q151" s="161" t="n">
        <v>0.78</v>
      </c>
      <c r="R151" s="132">
        <f>E151*Q151</f>
        <v/>
      </c>
      <c r="S151" s="132" t="n"/>
      <c r="T151" s="157" t="n">
        <v>5.45</v>
      </c>
      <c r="U151" s="157">
        <f>E151*T151</f>
        <v/>
      </c>
      <c r="AC151" s="15" t="n"/>
    </row>
    <row r="152" ht="15.65" customHeight="1">
      <c r="B152" s="163" t="inlineStr">
        <is>
          <t>2-1071.200.18P</t>
        </is>
      </c>
      <c r="C152" s="9" t="n"/>
      <c r="D152" s="140" t="inlineStr">
        <is>
          <t>砂黑</t>
        </is>
      </c>
      <c r="E152" s="165" t="n"/>
      <c r="F152" s="165" t="n"/>
      <c r="H152" s="166" t="n"/>
      <c r="K152" s="167" t="n"/>
      <c r="M152" s="167" t="n"/>
      <c r="N152" s="171" t="n"/>
      <c r="O152" s="167" t="n"/>
      <c r="P152" s="157" t="n"/>
      <c r="Q152" s="161" t="n">
        <v>0.78</v>
      </c>
      <c r="R152" s="132">
        <f>E152*Q152</f>
        <v/>
      </c>
      <c r="S152" s="132" t="n"/>
      <c r="T152" s="157" t="n">
        <v>5.45</v>
      </c>
      <c r="U152" s="157">
        <f>E152*T152</f>
        <v/>
      </c>
      <c r="AC152" s="15" t="n"/>
    </row>
    <row r="153" ht="15.65" customHeight="1">
      <c r="B153" s="163" t="inlineStr">
        <is>
          <t>2-1071.250.17P</t>
        </is>
      </c>
      <c r="C153" s="9" t="n"/>
      <c r="D153" s="140" t="inlineStr">
        <is>
          <t>砂白</t>
        </is>
      </c>
      <c r="E153" s="165" t="n"/>
      <c r="F153" s="165" t="n"/>
      <c r="H153" s="166" t="n"/>
      <c r="K153" s="167" t="n"/>
      <c r="M153" s="167" t="n"/>
      <c r="N153" s="171" t="n"/>
      <c r="O153" s="167" t="n"/>
      <c r="P153" s="157" t="n"/>
      <c r="Q153" s="161" t="n">
        <v>0.86</v>
      </c>
      <c r="R153" s="132">
        <f>E153*Q153</f>
        <v/>
      </c>
      <c r="S153" s="132" t="n"/>
      <c r="T153" s="157" t="n">
        <v>5.97</v>
      </c>
      <c r="U153" s="157">
        <f>E153*T153</f>
        <v/>
      </c>
      <c r="AC153" s="15" t="n"/>
    </row>
    <row r="154" ht="15.65" customHeight="1">
      <c r="B154" s="163" t="inlineStr">
        <is>
          <t>2-1071.250.18P</t>
        </is>
      </c>
      <c r="C154" s="163" t="n"/>
      <c r="D154" s="140" t="inlineStr">
        <is>
          <t>砂黑</t>
        </is>
      </c>
      <c r="E154" s="165" t="n"/>
      <c r="F154" s="165" t="n"/>
      <c r="H154" s="166" t="n"/>
      <c r="K154" s="167" t="n"/>
      <c r="M154" s="167" t="n"/>
      <c r="N154" s="171" t="n"/>
      <c r="O154" s="167" t="n"/>
      <c r="P154" s="157" t="n"/>
      <c r="Q154" s="161" t="n">
        <v>0.86</v>
      </c>
      <c r="R154" s="28">
        <f>E154*Q154</f>
        <v/>
      </c>
      <c r="S154" s="132" t="n"/>
      <c r="T154" s="157" t="n">
        <v>5.97</v>
      </c>
      <c r="U154" s="60">
        <f>E154*T154</f>
        <v/>
      </c>
      <c r="AC154" s="15" t="n"/>
    </row>
    <row r="155" ht="15.65" customHeight="1">
      <c r="A155" s="9" t="n"/>
      <c r="B155" s="104" t="n"/>
      <c r="C155" s="163" t="n"/>
      <c r="D155" s="9" t="n"/>
      <c r="E155" s="165" t="n"/>
      <c r="F155" s="165" t="n"/>
      <c r="H155" s="166" t="n"/>
      <c r="M155" s="167" t="n"/>
      <c r="N155" s="171" t="n"/>
      <c r="O155" s="167" t="n"/>
      <c r="P155" s="157" t="n"/>
      <c r="Q155" s="161" t="n"/>
      <c r="R155" s="132">
        <f>SUM(R141:R154)</f>
        <v/>
      </c>
      <c r="S155" s="132" t="n"/>
      <c r="U155" s="157">
        <f>SUM(U141:U154)</f>
        <v/>
      </c>
      <c r="W155" s="76">
        <f>U155/R155</f>
        <v/>
      </c>
      <c r="AC155" s="15" t="n"/>
    </row>
    <row r="156" ht="15.65" customHeight="1">
      <c r="A156" s="9" t="n"/>
      <c r="B156" s="104" t="n"/>
      <c r="C156" s="163" t="n"/>
      <c r="D156" s="9" t="n"/>
      <c r="E156" s="183" t="n"/>
      <c r="F156" s="165" t="n"/>
      <c r="H156" s="184" t="n"/>
      <c r="I156" s="31" t="n"/>
      <c r="J156" s="31" t="n"/>
      <c r="K156" s="31" t="n"/>
      <c r="L156" s="31" t="n"/>
      <c r="M156" s="185" t="n"/>
      <c r="N156" s="171" t="n"/>
      <c r="O156" s="185" t="n"/>
      <c r="P156" s="60" t="n"/>
      <c r="Q156" s="32" t="inlineStr">
        <is>
          <t>mould</t>
        </is>
      </c>
      <c r="R156" s="28" t="n"/>
      <c r="S156" s="132" t="n"/>
      <c r="U156" s="60" t="n"/>
      <c r="AC156" s="15" t="n"/>
    </row>
    <row r="157" ht="15.65" customHeight="1">
      <c r="A157" s="9" t="n"/>
      <c r="B157" s="104" t="n"/>
      <c r="C157" s="163" t="n"/>
      <c r="D157" s="9" t="n"/>
      <c r="E157" s="187">
        <f>SUM(E141:E156)</f>
        <v/>
      </c>
      <c r="F157" s="165" t="n"/>
      <c r="H157" s="187">
        <f>SUM(H141:H156)</f>
        <v/>
      </c>
      <c r="M157" s="180">
        <f>SUM(M141:M156)</f>
        <v/>
      </c>
      <c r="N157" s="171" t="n"/>
      <c r="O157" s="180">
        <f>SUM(O141:O156)</f>
        <v/>
      </c>
      <c r="P157" s="157">
        <f>SUM(P141:P156)</f>
        <v/>
      </c>
      <c r="Q157" s="161" t="n"/>
      <c r="R157" s="132">
        <f>SUM(R155:R156)</f>
        <v/>
      </c>
      <c r="S157" s="132" t="n"/>
      <c r="U157" s="157">
        <f>SUM(U155:U156)</f>
        <v/>
      </c>
      <c r="AC157" s="15" t="n"/>
    </row>
    <row r="158" ht="15.65" customHeight="1">
      <c r="A158" s="9" t="n"/>
      <c r="B158" s="104" t="n"/>
      <c r="C158" s="163" t="n"/>
      <c r="D158" s="9" t="n"/>
      <c r="E158" s="165" t="n"/>
      <c r="F158" s="165" t="n"/>
      <c r="H158" s="166" t="n"/>
      <c r="M158" s="167" t="n"/>
      <c r="N158" s="171" t="n"/>
      <c r="O158" s="167" t="n"/>
      <c r="P158" s="157" t="n"/>
      <c r="Q158" s="161" t="n"/>
      <c r="R158" s="132" t="n"/>
      <c r="S158" s="132" t="n"/>
      <c r="U158" s="157" t="n"/>
      <c r="AC158" s="15" t="n"/>
    </row>
    <row r="159" ht="15.65" customHeight="1">
      <c r="A159" s="143" t="inlineStr">
        <is>
          <t>挂钩</t>
        </is>
      </c>
      <c r="B159" s="104" t="inlineStr">
        <is>
          <t>5-8005</t>
        </is>
      </c>
      <c r="C159" s="163" t="inlineStr">
        <is>
          <t>008005065000307</t>
        </is>
      </c>
      <c r="D159" s="143" t="inlineStr">
        <is>
          <t>黑色</t>
        </is>
      </c>
      <c r="E159" s="165" t="n"/>
      <c r="F159" s="165" t="n"/>
      <c r="H159" s="166" t="n"/>
      <c r="M159" s="167" t="n"/>
      <c r="N159" s="171" t="n"/>
      <c r="O159" s="167" t="n"/>
      <c r="P159" s="157" t="n"/>
      <c r="Q159" s="161" t="n">
        <v>0.27</v>
      </c>
      <c r="R159" s="132">
        <f>E159*Q159</f>
        <v/>
      </c>
      <c r="S159" s="132" t="n"/>
      <c r="T159" s="76" t="n">
        <v>1.78</v>
      </c>
      <c r="U159" s="157">
        <f>E159*T159</f>
        <v/>
      </c>
      <c r="AC159" s="15" t="n"/>
    </row>
    <row r="160" ht="15.65" customHeight="1">
      <c r="A160" s="9" t="n"/>
      <c r="B160" s="145" t="inlineStr">
        <is>
          <t>模具</t>
        </is>
      </c>
      <c r="C160" s="163" t="n"/>
      <c r="D160" s="9" t="n"/>
      <c r="E160" s="183" t="n"/>
      <c r="F160" s="165" t="n"/>
      <c r="H160" s="184" t="n"/>
      <c r="I160" s="31" t="n"/>
      <c r="J160" s="31" t="n"/>
      <c r="K160" s="31" t="n"/>
      <c r="L160" s="31" t="n"/>
      <c r="M160" s="185" t="n"/>
      <c r="N160" s="188" t="n"/>
      <c r="O160" s="167" t="n"/>
      <c r="P160" s="60" t="n"/>
      <c r="Q160" s="161" t="n"/>
      <c r="R160" s="28" t="n"/>
      <c r="S160" s="132" t="n"/>
      <c r="U160" s="60" t="n"/>
      <c r="AC160" s="15" t="n"/>
    </row>
    <row r="161" ht="15.65" customHeight="1">
      <c r="A161" s="9" t="n"/>
      <c r="B161" s="104" t="n"/>
      <c r="C161" s="163" t="n"/>
      <c r="D161" s="9" t="n"/>
      <c r="E161" s="165">
        <f>SUM(E159:E160)</f>
        <v/>
      </c>
      <c r="F161" s="165" t="n"/>
      <c r="H161" s="165">
        <f>SUM(H159:H160)</f>
        <v/>
      </c>
      <c r="M161" s="165">
        <f>SUM(M159:M160)</f>
        <v/>
      </c>
      <c r="N161" s="171" t="n"/>
      <c r="O161" s="167" t="n"/>
      <c r="P161" s="165">
        <f>SUM(P159:P160)</f>
        <v/>
      </c>
      <c r="Q161" s="161" t="n"/>
      <c r="R161" s="132">
        <f>SUM(R159:R160)</f>
        <v/>
      </c>
      <c r="S161" s="132" t="n"/>
      <c r="U161" s="157">
        <f>SUM(U159:U160)</f>
        <v/>
      </c>
      <c r="AC161" s="15" t="n"/>
    </row>
    <row r="162" ht="15.65" customHeight="1">
      <c r="A162" s="9" t="n"/>
      <c r="B162" s="104" t="n"/>
      <c r="C162" s="163" t="n"/>
      <c r="D162" s="9" t="n"/>
      <c r="E162" s="165" t="n"/>
      <c r="F162" s="165" t="n"/>
      <c r="H162" s="166" t="n"/>
      <c r="M162" s="167" t="n"/>
      <c r="N162" s="171" t="n"/>
      <c r="O162" s="167" t="n"/>
      <c r="P162" s="157" t="n"/>
      <c r="Q162" s="161" t="n"/>
      <c r="R162" s="132" t="n"/>
      <c r="S162" s="132" t="n"/>
      <c r="U162" s="157" t="n"/>
      <c r="AC162" s="15" t="n"/>
    </row>
    <row r="163" ht="15.65" customHeight="1">
      <c r="A163" s="9" t="n"/>
      <c r="B163" s="104" t="n"/>
      <c r="C163" s="163" t="n"/>
      <c r="D163" s="9" t="n"/>
      <c r="E163" s="165" t="n"/>
      <c r="F163" s="165" t="n"/>
      <c r="H163" s="166" t="n"/>
      <c r="M163" s="167" t="n"/>
      <c r="N163" s="171" t="n"/>
      <c r="O163" s="167" t="n"/>
      <c r="P163" s="157" t="n"/>
      <c r="Q163" s="161" t="n"/>
      <c r="R163" s="132" t="n"/>
      <c r="S163" s="132" t="n"/>
      <c r="U163" s="157" t="n"/>
      <c r="AC163" s="15" t="n"/>
    </row>
    <row r="164" ht="15.65" customHeight="1">
      <c r="A164" s="9" t="n"/>
      <c r="B164" s="104" t="n"/>
      <c r="C164" s="163" t="n"/>
      <c r="D164" s="9" t="n"/>
      <c r="E164" s="165" t="n"/>
      <c r="F164" s="165" t="n"/>
      <c r="H164" s="166" t="n"/>
      <c r="M164" s="167" t="n"/>
      <c r="N164" s="171" t="n"/>
      <c r="O164" s="167" t="n"/>
      <c r="P164" s="157" t="n"/>
      <c r="Q164" s="161" t="n"/>
      <c r="R164" s="132" t="n"/>
      <c r="S164" s="132" t="n"/>
      <c r="U164" s="157" t="n"/>
      <c r="AC164" s="15" t="n"/>
    </row>
    <row r="165" ht="15.65" customFormat="1" customHeight="1" s="151">
      <c r="A165" s="144" t="inlineStr">
        <is>
          <t>萧山</t>
        </is>
      </c>
      <c r="B165" s="148" t="n"/>
      <c r="C165" s="148" t="n"/>
      <c r="D165" s="149" t="n"/>
      <c r="E165" s="189">
        <f>E133+E157+E161</f>
        <v/>
      </c>
      <c r="F165" s="189" t="n"/>
      <c r="H165" s="189">
        <f>H133+H157+H161</f>
        <v/>
      </c>
      <c r="M165" s="190">
        <f>M133+M157+M161</f>
        <v/>
      </c>
      <c r="N165" s="191" t="n"/>
      <c r="O165" s="191" t="n"/>
      <c r="P165" s="190">
        <f>P133+P157+P161</f>
        <v/>
      </c>
      <c r="Q165" s="192" t="n"/>
      <c r="R165" s="190">
        <f>R133+R157+R161</f>
        <v/>
      </c>
      <c r="S165" s="193" t="n"/>
      <c r="T165" s="191" t="n"/>
      <c r="U165" s="190">
        <f>U133+U157+U161</f>
        <v/>
      </c>
      <c r="AC165" s="156" t="n"/>
    </row>
    <row r="166" ht="15.65" customHeight="1">
      <c r="A166" s="9" t="n"/>
      <c r="B166" s="104" t="n"/>
      <c r="C166" s="163" t="n"/>
      <c r="D166" s="9" t="n"/>
      <c r="E166" s="165" t="n"/>
      <c r="F166" s="165" t="n"/>
      <c r="H166" s="166" t="n"/>
      <c r="M166" s="167" t="n"/>
      <c r="N166" s="171" t="n"/>
      <c r="O166" s="167" t="n"/>
      <c r="P166" s="157" t="n"/>
      <c r="Q166" s="161" t="n"/>
      <c r="R166" s="132" t="n"/>
      <c r="S166" s="132" t="n"/>
      <c r="U166" s="157" t="n"/>
      <c r="AC166" s="15" t="n"/>
    </row>
    <row r="167" ht="15.65" customHeight="1">
      <c r="A167" s="9" t="n"/>
      <c r="B167" s="104" t="n"/>
      <c r="C167" s="163" t="n"/>
      <c r="D167" s="9" t="n"/>
      <c r="E167" s="165" t="n"/>
      <c r="F167" s="165" t="n"/>
      <c r="H167" s="166" t="n"/>
      <c r="M167" s="167" t="n"/>
      <c r="N167" s="171" t="n"/>
      <c r="O167" s="167" t="n"/>
      <c r="P167" s="157" t="n"/>
      <c r="Q167" s="161" t="n"/>
      <c r="R167" s="132" t="n"/>
      <c r="S167" s="132" t="n"/>
      <c r="U167" s="157" t="n"/>
      <c r="AC167" s="15" t="n"/>
    </row>
    <row r="168" ht="15.65" customHeight="1">
      <c r="A168" s="9" t="n"/>
      <c r="B168" s="104" t="n"/>
      <c r="C168" s="163" t="n"/>
      <c r="D168" s="9" t="n"/>
      <c r="E168" s="165" t="n"/>
      <c r="F168" s="165" t="n"/>
      <c r="H168" s="166" t="n"/>
      <c r="M168" s="167" t="n"/>
      <c r="N168" s="171" t="n"/>
      <c r="O168" s="167" t="n"/>
      <c r="P168" s="157" t="n"/>
      <c r="Q168" s="161" t="n"/>
      <c r="R168" s="132" t="n"/>
      <c r="S168" s="132" t="n"/>
      <c r="U168" s="157" t="n"/>
      <c r="AC168" s="15" t="n"/>
    </row>
    <row r="169" ht="15.65" customHeight="1">
      <c r="A169" s="9" t="n"/>
      <c r="B169" s="104" t="n"/>
      <c r="C169" s="163" t="n"/>
      <c r="D169" s="9" t="n"/>
      <c r="E169" s="165" t="n"/>
      <c r="F169" s="165" t="n"/>
      <c r="H169" s="166" t="n"/>
      <c r="M169" s="167" t="n"/>
      <c r="N169" s="171" t="n"/>
      <c r="O169" s="167" t="n"/>
      <c r="P169" s="157" t="n"/>
      <c r="Q169" s="161" t="n"/>
      <c r="R169" s="132" t="n"/>
      <c r="S169" s="132" t="n"/>
      <c r="U169" s="157" t="n"/>
      <c r="AC169" s="15" t="n"/>
    </row>
    <row r="170" ht="15.65" customHeight="1">
      <c r="A170" s="75" t="inlineStr">
        <is>
          <t>永康架子</t>
        </is>
      </c>
      <c r="B170" s="104" t="n"/>
      <c r="C170" s="163" t="n"/>
      <c r="D170" s="9" t="n"/>
      <c r="E170" s="165" t="n"/>
      <c r="F170" s="165" t="n"/>
      <c r="H170" s="166" t="n"/>
      <c r="M170" s="167" t="n"/>
      <c r="N170" s="171" t="n"/>
      <c r="O170" s="167" t="n"/>
      <c r="P170" s="157" t="n"/>
      <c r="Q170" s="44" t="inlineStr">
        <is>
          <t>2024.4.29 新价</t>
        </is>
      </c>
      <c r="R170" s="132" t="n"/>
      <c r="S170" s="132" t="n"/>
      <c r="T170" s="2" t="inlineStr">
        <is>
          <t>2024.4.26 新价</t>
        </is>
      </c>
      <c r="U170" s="157" t="n"/>
      <c r="AC170" s="15" t="n"/>
    </row>
    <row r="171" ht="15.65" customHeight="1">
      <c r="A171" s="9" t="n"/>
      <c r="B171" s="104" t="n"/>
      <c r="C171" s="163" t="n"/>
      <c r="D171" s="9" t="n"/>
      <c r="E171" s="165" t="n"/>
      <c r="F171" s="165" t="n"/>
      <c r="H171" s="166" t="n"/>
      <c r="M171" s="167" t="n"/>
      <c r="N171" s="171" t="n"/>
      <c r="O171" s="167" t="n"/>
      <c r="P171" s="157" t="n"/>
      <c r="Q171" s="122" t="n"/>
      <c r="R171" s="132" t="n"/>
      <c r="S171" s="132" t="n"/>
      <c r="T171" s="123" t="n"/>
      <c r="U171" s="157" t="n"/>
      <c r="AC171" s="15" t="n"/>
    </row>
    <row r="172" ht="15.65" customFormat="1" customHeight="1" s="107">
      <c r="B172" s="107" t="inlineStr">
        <is>
          <t>2-1474.120.01</t>
        </is>
      </c>
      <c r="C172" s="127" t="inlineStr">
        <is>
          <t>000474120000102</t>
        </is>
      </c>
      <c r="D172" s="107" t="inlineStr">
        <is>
          <t>12x8, 白色</t>
        </is>
      </c>
      <c r="E172" s="165" t="n"/>
      <c r="F172" s="165" t="n">
        <v>10000</v>
      </c>
      <c r="G172" s="194" t="n">
        <v>400</v>
      </c>
      <c r="H172" s="195">
        <f>E172/G172</f>
        <v/>
      </c>
      <c r="I172" s="107" t="n">
        <v>0.33</v>
      </c>
      <c r="J172" s="107" t="n">
        <v>0.31</v>
      </c>
      <c r="K172" s="107" t="n">
        <v>0.28</v>
      </c>
      <c r="L172" s="107" t="n">
        <v>16</v>
      </c>
      <c r="M172" s="174">
        <f>H172*I172*J172*K172</f>
        <v/>
      </c>
      <c r="N172" s="196" t="n">
        <v>14400</v>
      </c>
      <c r="O172" s="167">
        <f>E172/N172</f>
        <v/>
      </c>
      <c r="P172" s="195">
        <f>H172*L172</f>
        <v/>
      </c>
      <c r="Q172" s="197" t="n">
        <v>0.11</v>
      </c>
      <c r="R172" s="132">
        <f>E172*Q172</f>
        <v/>
      </c>
      <c r="S172" s="198" t="n"/>
      <c r="T172" s="199" t="n">
        <v>0.75</v>
      </c>
      <c r="U172" s="70">
        <f>E172*T172</f>
        <v/>
      </c>
      <c r="V172" s="42" t="n"/>
      <c r="W172" s="169" t="n"/>
      <c r="X172" s="70" t="n"/>
      <c r="Y172" s="174">
        <f>T172/(Q172)</f>
        <v/>
      </c>
      <c r="Z172" s="44" t="n"/>
      <c r="AC172" s="45" t="n">
        <v>8423224821046</v>
      </c>
    </row>
    <row r="173" ht="15.65" customFormat="1" customHeight="1" s="107">
      <c r="B173" s="107" t="inlineStr">
        <is>
          <t>2-1474.120.03</t>
        </is>
      </c>
      <c r="C173" s="127" t="inlineStr">
        <is>
          <t>000474120000302</t>
        </is>
      </c>
      <c r="D173" s="107" t="inlineStr">
        <is>
          <t>12x8, 黑色</t>
        </is>
      </c>
      <c r="E173" s="165" t="n"/>
      <c r="F173" s="165" t="n"/>
      <c r="G173" s="194" t="n">
        <v>400</v>
      </c>
      <c r="H173" s="195">
        <f>E173/G173</f>
        <v/>
      </c>
      <c r="I173" s="107" t="n">
        <v>0.33</v>
      </c>
      <c r="J173" s="107" t="n">
        <v>0.31</v>
      </c>
      <c r="K173" s="107" t="n">
        <v>0.28</v>
      </c>
      <c r="L173" s="107" t="n">
        <v>16</v>
      </c>
      <c r="M173" s="174">
        <f>H173*I173*J173*K173</f>
        <v/>
      </c>
      <c r="N173" s="196" t="n">
        <v>14400</v>
      </c>
      <c r="O173" s="167">
        <f>E173/N173</f>
        <v/>
      </c>
      <c r="P173" s="195">
        <f>H173*L173</f>
        <v/>
      </c>
      <c r="Q173" s="197" t="n">
        <v>0.11</v>
      </c>
      <c r="R173" s="132">
        <f>E173*Q173</f>
        <v/>
      </c>
      <c r="S173" s="198" t="n"/>
      <c r="T173" s="199" t="n">
        <v>0.75</v>
      </c>
      <c r="U173" s="70">
        <f>E173*T173</f>
        <v/>
      </c>
      <c r="V173" s="46" t="n"/>
      <c r="W173" s="169" t="n"/>
      <c r="X173" s="70" t="n"/>
      <c r="Y173" s="174">
        <f>T173/(Q173)</f>
        <v/>
      </c>
      <c r="Z173" s="44" t="n"/>
      <c r="AC173" s="45" t="n">
        <v>8423224821053</v>
      </c>
    </row>
    <row r="174" ht="15.65" customFormat="1" customHeight="1" s="107">
      <c r="B174" s="107" t="inlineStr">
        <is>
          <t>2-1474.170.01</t>
        </is>
      </c>
      <c r="C174" s="127" t="inlineStr">
        <is>
          <t>000474170000102</t>
        </is>
      </c>
      <c r="D174" s="107" t="inlineStr">
        <is>
          <t>17x12,白色</t>
        </is>
      </c>
      <c r="E174" s="165" t="n"/>
      <c r="F174" s="165" t="n">
        <v>4000</v>
      </c>
      <c r="G174" s="194" t="n">
        <v>400</v>
      </c>
      <c r="H174" s="195">
        <f>E174/G174</f>
        <v/>
      </c>
      <c r="I174" s="107" t="n">
        <v>0.43</v>
      </c>
      <c r="J174" s="107" t="n">
        <v>0.39</v>
      </c>
      <c r="K174" s="107" t="n">
        <v>0.29</v>
      </c>
      <c r="L174" s="107" t="n">
        <v>24</v>
      </c>
      <c r="M174" s="174">
        <f>H174*I174*J174*K174</f>
        <v/>
      </c>
      <c r="N174" s="196" t="n">
        <v>6800</v>
      </c>
      <c r="O174" s="167">
        <f>E174/N174</f>
        <v/>
      </c>
      <c r="P174" s="195">
        <f>H174*L174</f>
        <v/>
      </c>
      <c r="Q174" s="197" t="n">
        <v>0.15</v>
      </c>
      <c r="R174" s="132">
        <f>E174*Q174</f>
        <v/>
      </c>
      <c r="S174" s="198" t="n"/>
      <c r="T174" s="199" t="n">
        <v>1.02</v>
      </c>
      <c r="U174" s="70">
        <f>E174*T174</f>
        <v/>
      </c>
      <c r="V174" s="46" t="n"/>
      <c r="W174" s="169" t="n"/>
      <c r="X174" s="70" t="n"/>
      <c r="Y174" s="174">
        <f>T174/(Q174)</f>
        <v/>
      </c>
      <c r="Z174" s="44" t="n"/>
      <c r="AC174" s="45" t="n">
        <v>8423224821060</v>
      </c>
    </row>
    <row r="175" ht="15.65" customFormat="1" customHeight="1" s="107">
      <c r="B175" s="107" t="inlineStr">
        <is>
          <t>2-1474.170.03</t>
        </is>
      </c>
      <c r="C175" s="127" t="inlineStr">
        <is>
          <t>000474170000302</t>
        </is>
      </c>
      <c r="D175" s="107" t="inlineStr">
        <is>
          <t>17x12,黑色</t>
        </is>
      </c>
      <c r="E175" s="165" t="n"/>
      <c r="F175" s="165" t="n"/>
      <c r="G175" s="194" t="n">
        <v>400</v>
      </c>
      <c r="H175" s="195">
        <f>E175/G175</f>
        <v/>
      </c>
      <c r="I175" s="107" t="n">
        <v>0.43</v>
      </c>
      <c r="J175" s="107" t="n">
        <v>0.39</v>
      </c>
      <c r="K175" s="107" t="n">
        <v>0.29</v>
      </c>
      <c r="L175" s="107" t="n">
        <v>24</v>
      </c>
      <c r="M175" s="174">
        <f>H175*I175*J175*K175</f>
        <v/>
      </c>
      <c r="N175" s="196" t="n">
        <v>6800</v>
      </c>
      <c r="O175" s="167">
        <f>E175/N175</f>
        <v/>
      </c>
      <c r="P175" s="195">
        <f>H175*L175</f>
        <v/>
      </c>
      <c r="Q175" s="197" t="n">
        <v>0.15</v>
      </c>
      <c r="R175" s="132">
        <f>E175*Q175</f>
        <v/>
      </c>
      <c r="S175" s="198" t="n"/>
      <c r="T175" s="199" t="n">
        <v>1.02</v>
      </c>
      <c r="U175" s="70">
        <f>E175*T175</f>
        <v/>
      </c>
      <c r="V175" s="74" t="n"/>
      <c r="W175" s="169" t="n"/>
      <c r="X175" s="70" t="n"/>
      <c r="Y175" s="174">
        <f>T175/(Q175)</f>
        <v/>
      </c>
      <c r="Z175" s="44" t="n"/>
      <c r="AC175" s="45" t="n">
        <v>8423224821077</v>
      </c>
    </row>
    <row r="176" ht="15.65" customFormat="1" customHeight="1" s="107">
      <c r="B176" s="107" t="inlineStr">
        <is>
          <t>2-1474.220.01</t>
        </is>
      </c>
      <c r="C176" s="127" t="inlineStr">
        <is>
          <t>000474220000102</t>
        </is>
      </c>
      <c r="D176" s="107" t="inlineStr">
        <is>
          <t>22x15.5,白色</t>
        </is>
      </c>
      <c r="E176" s="165" t="n"/>
      <c r="F176" s="165" t="n">
        <v>9800</v>
      </c>
      <c r="G176" s="194" t="n">
        <v>200</v>
      </c>
      <c r="H176" s="195">
        <f>E176/G176</f>
        <v/>
      </c>
      <c r="I176" s="107" t="n">
        <v>0.49</v>
      </c>
      <c r="J176" s="107" t="n">
        <v>0.29</v>
      </c>
      <c r="K176" s="107" t="n">
        <v>0.31</v>
      </c>
      <c r="L176" s="107" t="n">
        <v>19</v>
      </c>
      <c r="M176" s="174">
        <f>H176*I176*J176*K176</f>
        <v/>
      </c>
      <c r="N176" s="196" t="n">
        <v>3600</v>
      </c>
      <c r="O176" s="167">
        <f>E176/N176</f>
        <v/>
      </c>
      <c r="P176" s="195">
        <f>H176*L176</f>
        <v/>
      </c>
      <c r="Q176" s="197" t="n">
        <v>0.21</v>
      </c>
      <c r="R176" s="132">
        <f>E176*Q176</f>
        <v/>
      </c>
      <c r="S176" s="198" t="n"/>
      <c r="T176" s="199" t="n">
        <v>1.42</v>
      </c>
      <c r="U176" s="70">
        <f>E176*T176</f>
        <v/>
      </c>
      <c r="V176" s="74" t="n"/>
      <c r="W176" s="169" t="n"/>
      <c r="X176" s="70" t="n"/>
      <c r="Y176" s="174">
        <f>T176/(Q176)</f>
        <v/>
      </c>
      <c r="Z176" s="44" t="n"/>
      <c r="AC176" s="45" t="n">
        <v>8423224821084</v>
      </c>
    </row>
    <row r="177" ht="15.65" customFormat="1" customHeight="1" s="107">
      <c r="B177" s="107" t="inlineStr">
        <is>
          <t>2-1474.220.03</t>
        </is>
      </c>
      <c r="C177" s="127" t="inlineStr">
        <is>
          <t>000474220000302</t>
        </is>
      </c>
      <c r="D177" s="107" t="inlineStr">
        <is>
          <t>22x15.5,黑色</t>
        </is>
      </c>
      <c r="E177" s="165" t="n"/>
      <c r="F177" s="165" t="n"/>
      <c r="G177" s="194" t="n">
        <v>200</v>
      </c>
      <c r="H177" s="195">
        <f>E177/G177</f>
        <v/>
      </c>
      <c r="I177" s="107" t="n">
        <v>0.49</v>
      </c>
      <c r="J177" s="107" t="n">
        <v>0.29</v>
      </c>
      <c r="K177" s="107" t="n">
        <v>0.31</v>
      </c>
      <c r="L177" s="107" t="n">
        <v>19</v>
      </c>
      <c r="M177" s="174">
        <f>H177*I177*J177*K177</f>
        <v/>
      </c>
      <c r="N177" s="196" t="n">
        <v>3600</v>
      </c>
      <c r="O177" s="167">
        <f>E177/N177</f>
        <v/>
      </c>
      <c r="P177" s="195">
        <f>H177*L177</f>
        <v/>
      </c>
      <c r="Q177" s="197" t="n">
        <v>0.21</v>
      </c>
      <c r="R177" s="132">
        <f>E177*Q177</f>
        <v/>
      </c>
      <c r="S177" s="198" t="n"/>
      <c r="T177" s="199" t="n">
        <v>1.42</v>
      </c>
      <c r="U177" s="70">
        <f>E177*T177</f>
        <v/>
      </c>
      <c r="V177" s="46" t="n"/>
      <c r="W177" s="169" t="n"/>
      <c r="X177" s="70" t="n"/>
      <c r="Y177" s="174">
        <f>T177/(Q177)</f>
        <v/>
      </c>
      <c r="Z177" s="44" t="n"/>
      <c r="AC177" s="45" t="n">
        <v>8423224821091</v>
      </c>
    </row>
    <row r="178" ht="15.65" customFormat="1" customHeight="1" s="107">
      <c r="B178" s="107" t="inlineStr">
        <is>
          <t>2-1474.270.01</t>
        </is>
      </c>
      <c r="C178" s="127" t="inlineStr">
        <is>
          <t>000474270000102</t>
        </is>
      </c>
      <c r="D178" s="107" t="inlineStr">
        <is>
          <t>27x19,白色</t>
        </is>
      </c>
      <c r="E178" s="165" t="n"/>
      <c r="F178" s="165" t="n">
        <v>14800</v>
      </c>
      <c r="G178" s="194" t="n">
        <v>100</v>
      </c>
      <c r="H178" s="195">
        <f>E178/G178</f>
        <v/>
      </c>
      <c r="I178" s="107" t="n">
        <v>0.48</v>
      </c>
      <c r="J178" s="107" t="n">
        <v>0.36</v>
      </c>
      <c r="K178" s="107" t="n">
        <v>0.32</v>
      </c>
      <c r="L178" s="107" t="n">
        <v>15</v>
      </c>
      <c r="M178" s="174">
        <f>H178*I178*J178*K178</f>
        <v/>
      </c>
      <c r="N178" s="196" t="n">
        <v>1500</v>
      </c>
      <c r="O178" s="167">
        <f>E178/N178</f>
        <v/>
      </c>
      <c r="P178" s="195">
        <f>H178*L178</f>
        <v/>
      </c>
      <c r="Q178" s="197" t="n">
        <v>0.3</v>
      </c>
      <c r="R178" s="132">
        <f>E178*Q178</f>
        <v/>
      </c>
      <c r="S178" s="198" t="n"/>
      <c r="T178" s="199" t="n">
        <v>2.02</v>
      </c>
      <c r="U178" s="70">
        <f>E178*T178</f>
        <v/>
      </c>
      <c r="V178" s="74" t="n"/>
      <c r="W178" s="169" t="n"/>
      <c r="X178" s="70" t="n"/>
      <c r="Y178" s="174">
        <f>T178/(Q178)</f>
        <v/>
      </c>
      <c r="Z178" s="44" t="n"/>
      <c r="AC178" s="45" t="n">
        <v>8423224821107</v>
      </c>
    </row>
    <row r="179" ht="15.65" customFormat="1" customHeight="1" s="107">
      <c r="B179" s="107" t="inlineStr">
        <is>
          <t>2-1474.270.03</t>
        </is>
      </c>
      <c r="C179" s="127" t="inlineStr">
        <is>
          <t>000474270000302</t>
        </is>
      </c>
      <c r="D179" s="107" t="inlineStr">
        <is>
          <t>27x19,黑色</t>
        </is>
      </c>
      <c r="E179" s="165" t="n"/>
      <c r="F179" s="165" t="n"/>
      <c r="G179" s="194" t="n">
        <v>100</v>
      </c>
      <c r="H179" s="195">
        <f>E179/G179</f>
        <v/>
      </c>
      <c r="I179" s="107" t="n">
        <v>0.48</v>
      </c>
      <c r="J179" s="107" t="n">
        <v>0.36</v>
      </c>
      <c r="K179" s="107" t="n">
        <v>0.32</v>
      </c>
      <c r="L179" s="107" t="n">
        <v>15</v>
      </c>
      <c r="M179" s="174">
        <f>H179*I179*J179*K179</f>
        <v/>
      </c>
      <c r="N179" s="196" t="n">
        <v>1500</v>
      </c>
      <c r="O179" s="167">
        <f>E179/N179</f>
        <v/>
      </c>
      <c r="P179" s="195">
        <f>H179*L179</f>
        <v/>
      </c>
      <c r="Q179" s="197" t="n">
        <v>0.3</v>
      </c>
      <c r="R179" s="132">
        <f>E179*Q179</f>
        <v/>
      </c>
      <c r="S179" s="198" t="n"/>
      <c r="T179" s="199" t="n">
        <v>2.02</v>
      </c>
      <c r="U179" s="70">
        <f>E179*T179</f>
        <v/>
      </c>
      <c r="V179" s="74" t="n"/>
      <c r="W179" s="169" t="n"/>
      <c r="X179" s="70" t="n"/>
      <c r="Y179" s="174">
        <f>T179/(Q179)</f>
        <v/>
      </c>
      <c r="Z179" s="44" t="n"/>
      <c r="AC179" s="45" t="n">
        <v>8423224821114</v>
      </c>
    </row>
    <row r="180" ht="15.65" customFormat="1" customHeight="1" s="107">
      <c r="B180" s="107" t="inlineStr">
        <is>
          <t>2-1474.320.01</t>
        </is>
      </c>
      <c r="C180" s="127" t="inlineStr">
        <is>
          <t>000474320000102</t>
        </is>
      </c>
      <c r="D180" s="107" t="inlineStr">
        <is>
          <t>32x22,白色</t>
        </is>
      </c>
      <c r="E180" s="165" t="n"/>
      <c r="F180" s="165" t="n">
        <v>1500</v>
      </c>
      <c r="G180" s="194" t="n">
        <v>100</v>
      </c>
      <c r="H180" s="195">
        <f>E180/G180</f>
        <v/>
      </c>
      <c r="I180" s="107" t="n">
        <v>0.57</v>
      </c>
      <c r="J180" s="107" t="n">
        <v>0.42</v>
      </c>
      <c r="K180" s="107" t="n">
        <v>0.33</v>
      </c>
      <c r="L180" s="107" t="n">
        <v>18</v>
      </c>
      <c r="M180" s="174">
        <f>H180*I180*J180*K180</f>
        <v/>
      </c>
      <c r="N180" s="196" t="n">
        <v>1200</v>
      </c>
      <c r="O180" s="167">
        <f>E180/N180</f>
        <v/>
      </c>
      <c r="P180" s="195">
        <f>H180*L180</f>
        <v/>
      </c>
      <c r="Q180" s="197" t="n">
        <v>0.41</v>
      </c>
      <c r="R180" s="132">
        <f>E180*Q180</f>
        <v/>
      </c>
      <c r="S180" s="132" t="n"/>
      <c r="T180" s="199" t="n">
        <v>2.65</v>
      </c>
      <c r="U180" s="70">
        <f>E180*T180</f>
        <v/>
      </c>
      <c r="V180" s="74" t="n"/>
      <c r="W180" s="169" t="n"/>
      <c r="X180" s="70" t="n"/>
      <c r="Y180" s="174">
        <f>T180/(Q180)</f>
        <v/>
      </c>
      <c r="Z180" s="44" t="n"/>
      <c r="AC180" s="45" t="n">
        <v>8423224821121</v>
      </c>
    </row>
    <row r="181" ht="15.65" customFormat="1" customHeight="1" s="107">
      <c r="A181" s="125" t="inlineStr">
        <is>
          <t>000474320000302</t>
        </is>
      </c>
      <c r="B181" s="107" t="inlineStr">
        <is>
          <t>2-1474.320.03</t>
        </is>
      </c>
      <c r="C181" s="127" t="inlineStr">
        <is>
          <t>000474320000302</t>
        </is>
      </c>
      <c r="D181" s="107" t="inlineStr">
        <is>
          <t>32x22,黑色</t>
        </is>
      </c>
      <c r="E181" s="183" t="n"/>
      <c r="F181" s="165" t="n"/>
      <c r="G181" s="194" t="n">
        <v>100</v>
      </c>
      <c r="H181" s="200">
        <f>E181/G181</f>
        <v/>
      </c>
      <c r="I181" s="107" t="n">
        <v>0.57</v>
      </c>
      <c r="J181" s="107" t="n">
        <v>0.42</v>
      </c>
      <c r="K181" s="107" t="n">
        <v>0.33</v>
      </c>
      <c r="L181" s="107" t="n">
        <v>18</v>
      </c>
      <c r="M181" s="201">
        <f>H181*I181*J181*K181</f>
        <v/>
      </c>
      <c r="N181" s="196" t="n">
        <v>1200</v>
      </c>
      <c r="O181" s="167">
        <f>E181/N181</f>
        <v/>
      </c>
      <c r="P181" s="200">
        <f>H181*L181</f>
        <v/>
      </c>
      <c r="Q181" s="197" t="n">
        <v>0.41</v>
      </c>
      <c r="R181" s="28">
        <f>E181*Q181</f>
        <v/>
      </c>
      <c r="S181" s="132" t="n"/>
      <c r="T181" s="199" t="n">
        <v>2.65</v>
      </c>
      <c r="U181" s="51">
        <f>E181*T181</f>
        <v/>
      </c>
      <c r="V181" s="46" t="n"/>
      <c r="W181" s="169" t="n"/>
      <c r="X181" s="70" t="n"/>
      <c r="Y181" s="174">
        <f>T181/(Q181)</f>
        <v/>
      </c>
      <c r="Z181" s="44" t="n"/>
      <c r="AC181" s="45" t="n">
        <v>8423224821138</v>
      </c>
    </row>
    <row r="182" ht="15.65" customFormat="1" customHeight="1" s="107">
      <c r="B182" s="106" t="n"/>
      <c r="C182" s="106" t="n"/>
      <c r="E182" s="165">
        <f>SUM(E172:E181)</f>
        <v/>
      </c>
      <c r="F182" s="80" t="n"/>
      <c r="G182" s="194" t="n"/>
      <c r="H182" s="195">
        <f>SUM(H172:H181)</f>
        <v/>
      </c>
      <c r="M182" s="174">
        <f>SUM(M172:M181)</f>
        <v/>
      </c>
      <c r="N182" s="196" t="n"/>
      <c r="O182" s="70">
        <f>SUM(O172:O181)</f>
        <v/>
      </c>
      <c r="P182" s="70">
        <f>SUM(P172:P181)</f>
        <v/>
      </c>
      <c r="Q182" s="197" t="n"/>
      <c r="R182" s="132">
        <f>SUM(R172:R181)</f>
        <v/>
      </c>
      <c r="S182" s="132" t="n"/>
      <c r="T182" s="202" t="n"/>
      <c r="U182" s="70">
        <f>SUM(U172:U181)</f>
        <v/>
      </c>
      <c r="V182" s="46" t="n"/>
      <c r="W182" s="174">
        <f>U182/R182</f>
        <v/>
      </c>
      <c r="X182" s="70" t="n"/>
      <c r="Z182" s="44" t="n"/>
      <c r="AC182" s="45" t="n"/>
    </row>
    <row r="183" ht="15.65" customFormat="1" customHeight="1" s="107">
      <c r="B183" s="106" t="n"/>
      <c r="C183" s="106" t="n"/>
      <c r="E183" s="165" t="n"/>
      <c r="F183" s="165" t="n"/>
      <c r="G183" s="194" t="n"/>
      <c r="H183" s="195" t="n"/>
      <c r="M183" s="203" t="n"/>
      <c r="N183" s="196" t="n"/>
      <c r="O183" s="121" t="inlineStr">
        <is>
          <t>PLT</t>
        </is>
      </c>
      <c r="P183" s="70" t="n"/>
      <c r="Q183" s="204" t="inlineStr">
        <is>
          <t>$2000以下加10%</t>
        </is>
      </c>
      <c r="R183" s="28" t="n"/>
      <c r="S183" s="28" t="n"/>
      <c r="T183" s="205" t="inlineStr">
        <is>
          <t>￥3W以下加300</t>
        </is>
      </c>
      <c r="U183" s="51" t="n"/>
      <c r="V183" s="107" t="n"/>
      <c r="W183" s="174" t="n"/>
      <c r="X183" s="76" t="n">
        <v>16592</v>
      </c>
      <c r="Z183" s="44" t="n"/>
      <c r="AC183" s="45" t="n"/>
    </row>
    <row r="184" ht="15.65" customFormat="1" customHeight="1" s="107">
      <c r="B184" s="106" t="n"/>
      <c r="C184" s="106" t="n"/>
      <c r="E184" s="165" t="n"/>
      <c r="F184" s="165" t="n"/>
      <c r="G184" s="194" t="n"/>
      <c r="H184" s="195" t="n"/>
      <c r="M184" s="203" t="n"/>
      <c r="N184" s="196" t="n"/>
      <c r="O184" s="167" t="n"/>
      <c r="P184" s="70" t="n"/>
      <c r="Q184" s="197" t="n"/>
      <c r="R184" s="132">
        <f>SUM(R182:R183)</f>
        <v/>
      </c>
      <c r="S184" s="132" t="n"/>
      <c r="T184" s="202" t="n"/>
      <c r="U184" s="70">
        <f>SUM(U182:U183)</f>
        <v/>
      </c>
      <c r="V184" s="107" t="n"/>
      <c r="W184" s="174" t="n"/>
      <c r="X184" s="76" t="n"/>
      <c r="Z184" s="44" t="n"/>
      <c r="AC184" s="45" t="n"/>
    </row>
    <row r="185" ht="15.65" customFormat="1" customHeight="1" s="107">
      <c r="B185" s="106" t="n"/>
      <c r="C185" s="106" t="n"/>
      <c r="E185" s="165" t="n"/>
      <c r="F185" s="165" t="n"/>
      <c r="G185" s="194" t="n"/>
      <c r="H185" s="195" t="n"/>
      <c r="M185" s="203" t="n"/>
      <c r="N185" s="196" t="n"/>
      <c r="O185" s="167" t="n"/>
      <c r="P185" s="70" t="n"/>
      <c r="Q185" s="197" t="n"/>
      <c r="R185" s="132" t="n"/>
      <c r="S185" s="132" t="n"/>
      <c r="T185" s="129" t="n"/>
      <c r="U185" s="60" t="n"/>
      <c r="V185" s="107" t="n"/>
      <c r="W185" s="174" t="n"/>
      <c r="X185" s="76" t="n"/>
      <c r="Z185" s="44" t="n"/>
      <c r="AC185" s="45" t="n"/>
    </row>
    <row r="186" ht="15.65" customFormat="1" customHeight="1" s="107">
      <c r="B186" s="106" t="n"/>
      <c r="C186" s="106" t="n"/>
      <c r="E186" s="165" t="n"/>
      <c r="F186" s="165" t="n"/>
      <c r="G186" s="194" t="n"/>
      <c r="H186" s="195" t="n"/>
      <c r="M186" s="203" t="n"/>
      <c r="N186" s="196" t="n"/>
      <c r="O186" s="167" t="n"/>
      <c r="P186" s="70" t="n"/>
      <c r="Q186" s="197" t="n"/>
      <c r="R186" s="132" t="n"/>
      <c r="S186" s="132" t="n"/>
      <c r="T186" s="76" t="n"/>
      <c r="U186" s="157">
        <f>U184+U185</f>
        <v/>
      </c>
      <c r="V186" s="46" t="n"/>
      <c r="W186" s="174" t="n"/>
      <c r="Z186" s="44" t="n"/>
      <c r="AC186" s="45" t="n"/>
    </row>
    <row r="187" ht="15.65" customFormat="1" customHeight="1" s="107">
      <c r="B187" s="106" t="n"/>
      <c r="C187" s="106" t="n"/>
      <c r="E187" s="165" t="n"/>
      <c r="F187" s="165" t="n"/>
      <c r="G187" s="194" t="n"/>
      <c r="H187" s="195" t="n"/>
      <c r="M187" s="203" t="n"/>
      <c r="N187" s="196" t="n"/>
      <c r="O187" s="167" t="n"/>
      <c r="P187" s="70" t="n"/>
      <c r="Q187" s="197" t="n"/>
      <c r="R187" s="132" t="n"/>
      <c r="S187" s="132" t="n"/>
      <c r="T187" s="202" t="n"/>
      <c r="U187" s="70" t="n"/>
      <c r="V187" s="46" t="n"/>
      <c r="W187" s="174" t="n"/>
      <c r="Z187" s="44" t="n"/>
      <c r="AC187" s="45" t="n"/>
    </row>
    <row r="188" ht="15.65" customFormat="1" customHeight="1" s="107">
      <c r="A188" s="107" t="inlineStr">
        <is>
          <t>45x15方管架子</t>
        </is>
      </c>
      <c r="B188" s="107" t="inlineStr">
        <is>
          <t>5-1001.18</t>
        </is>
      </c>
      <c r="C188" s="107" t="n"/>
      <c r="D188" s="107" t="inlineStr">
        <is>
          <t>有光黑色</t>
        </is>
      </c>
      <c r="E188" s="165" t="n"/>
      <c r="F188" s="165" t="n"/>
      <c r="G188" s="194" t="n">
        <v>10</v>
      </c>
      <c r="H188" s="195">
        <f>E188/G188</f>
        <v/>
      </c>
      <c r="I188" s="107" t="n">
        <v>0.49</v>
      </c>
      <c r="J188" s="107" t="n">
        <v>0.34</v>
      </c>
      <c r="K188" s="107" t="n">
        <v>0.29</v>
      </c>
      <c r="L188" s="107" t="n">
        <v>6</v>
      </c>
      <c r="M188" s="174">
        <f>H188*I188*J188*K188</f>
        <v/>
      </c>
      <c r="N188" s="196" t="n"/>
      <c r="O188" s="167" t="n"/>
      <c r="P188" s="195">
        <f>H188*L188</f>
        <v/>
      </c>
      <c r="Q188" s="206" t="n">
        <v>1.64</v>
      </c>
      <c r="R188" s="132">
        <f>E188*Q188</f>
        <v/>
      </c>
      <c r="S188" s="132" t="n"/>
      <c r="T188" s="202" t="n">
        <v>10</v>
      </c>
      <c r="U188" s="70">
        <f>E188*T188</f>
        <v/>
      </c>
      <c r="V188" s="74" t="n"/>
      <c r="W188" s="174" t="n"/>
      <c r="Z188" s="44" t="n"/>
      <c r="AC188" s="45" t="n">
        <v>8423224860151</v>
      </c>
    </row>
    <row r="189" hidden="1" ht="15.65" customFormat="1" customHeight="1" s="107">
      <c r="B189" s="107" t="inlineStr">
        <is>
          <t>5-1001.17P</t>
        </is>
      </c>
      <c r="C189" s="107" t="n"/>
      <c r="D189" s="107" t="inlineStr">
        <is>
          <t>沙面白色</t>
        </is>
      </c>
      <c r="E189" s="165" t="n"/>
      <c r="F189" s="165" t="n"/>
      <c r="G189" s="194" t="n">
        <v>10</v>
      </c>
      <c r="H189" s="195">
        <f>E189/G189</f>
        <v/>
      </c>
      <c r="I189" s="107" t="n">
        <v>0.49</v>
      </c>
      <c r="J189" s="107" t="n">
        <v>0.34</v>
      </c>
      <c r="K189" s="107" t="n">
        <v>0.29</v>
      </c>
      <c r="L189" s="107" t="n">
        <v>6</v>
      </c>
      <c r="M189" s="174">
        <f>H189*I189*J189*K189</f>
        <v/>
      </c>
      <c r="N189" s="196" t="n"/>
      <c r="O189" s="167" t="n"/>
      <c r="P189" s="195">
        <f>H189*L189</f>
        <v/>
      </c>
      <c r="Q189" s="206" t="n">
        <v>1.64</v>
      </c>
      <c r="R189" s="132">
        <f>E189*Q189</f>
        <v/>
      </c>
      <c r="S189" s="132" t="n"/>
      <c r="T189" s="202" t="n">
        <v>10</v>
      </c>
      <c r="U189" s="70">
        <f>E189*T189</f>
        <v/>
      </c>
      <c r="V189" s="74" t="n"/>
      <c r="W189" s="174" t="n"/>
      <c r="Z189" s="44" t="n"/>
      <c r="AC189" s="45" t="n">
        <v>8423224860144</v>
      </c>
    </row>
    <row r="190" hidden="1" ht="15.65" customFormat="1" customHeight="1" s="107">
      <c r="B190" s="107" t="inlineStr">
        <is>
          <t>5-1001.21</t>
        </is>
      </c>
      <c r="C190" s="107" t="n"/>
      <c r="D190" s="107" t="inlineStr">
        <is>
          <t>亮铬</t>
        </is>
      </c>
      <c r="E190" s="165" t="n"/>
      <c r="F190" s="165" t="n"/>
      <c r="G190" s="194" t="n">
        <v>10</v>
      </c>
      <c r="H190" s="195">
        <f>E190/G190</f>
        <v/>
      </c>
      <c r="I190" s="107" t="n">
        <v>0.49</v>
      </c>
      <c r="J190" s="107" t="n">
        <v>0.34</v>
      </c>
      <c r="K190" s="107" t="n">
        <v>0.29</v>
      </c>
      <c r="L190" s="107" t="n">
        <v>6</v>
      </c>
      <c r="M190" s="174">
        <f>H190*I190*J190*K190</f>
        <v/>
      </c>
      <c r="N190" s="196" t="n"/>
      <c r="O190" s="167" t="n"/>
      <c r="P190" s="195">
        <f>H190*L190</f>
        <v/>
      </c>
      <c r="Q190" s="206" t="n">
        <v>2.38</v>
      </c>
      <c r="R190" s="132">
        <f>E190*Q190</f>
        <v/>
      </c>
      <c r="S190" s="132" t="n"/>
      <c r="T190" s="202" t="n">
        <v>14.7</v>
      </c>
      <c r="U190" s="70">
        <f>E190*T190</f>
        <v/>
      </c>
      <c r="V190" s="74" t="n"/>
      <c r="W190" s="174" t="n"/>
      <c r="Z190" s="44" t="n"/>
      <c r="AC190" s="45" t="n">
        <v>8423224860168</v>
      </c>
    </row>
    <row r="191" hidden="1" ht="15.65" customFormat="1" customHeight="1" s="107">
      <c r="A191" s="107" t="inlineStr">
        <is>
          <t>45x15扁钢框架</t>
        </is>
      </c>
      <c r="B191" s="107" t="inlineStr">
        <is>
          <t>5-1002.18</t>
        </is>
      </c>
      <c r="C191" s="107" t="n"/>
      <c r="D191" s="107" t="inlineStr">
        <is>
          <t>有光黑色</t>
        </is>
      </c>
      <c r="E191" s="165" t="n"/>
      <c r="F191" s="165" t="n"/>
      <c r="G191" s="194" t="n">
        <v>10</v>
      </c>
      <c r="H191" s="195">
        <f>E191/G191</f>
        <v/>
      </c>
      <c r="I191" s="107" t="n">
        <v>0.49</v>
      </c>
      <c r="J191" s="107" t="n">
        <v>0.34</v>
      </c>
      <c r="K191" s="107" t="n">
        <v>0.29</v>
      </c>
      <c r="L191" s="107" t="n">
        <v>18</v>
      </c>
      <c r="M191" s="174">
        <f>H191*I191*J191*K191</f>
        <v/>
      </c>
      <c r="N191" s="196" t="n"/>
      <c r="O191" s="167" t="n"/>
      <c r="P191" s="195">
        <f>H191*L191</f>
        <v/>
      </c>
      <c r="Q191" s="206" t="n">
        <v>3.68</v>
      </c>
      <c r="R191" s="132">
        <f>E191*Q191</f>
        <v/>
      </c>
      <c r="S191" s="132" t="n"/>
      <c r="T191" s="202" t="n">
        <v>23.2</v>
      </c>
      <c r="U191" s="70">
        <f>E191*T191</f>
        <v/>
      </c>
      <c r="V191" s="74" t="n"/>
      <c r="W191" s="174" t="n"/>
      <c r="Z191" s="44" t="n"/>
      <c r="AC191" s="45" t="n">
        <v>8423224860106</v>
      </c>
    </row>
    <row r="192" hidden="1" ht="15.65" customFormat="1" customHeight="1" s="107">
      <c r="B192" s="107" t="inlineStr">
        <is>
          <t>5-1002.17</t>
        </is>
      </c>
      <c r="C192" s="107" t="n"/>
      <c r="D192" s="107" t="inlineStr">
        <is>
          <t>亚光白色</t>
        </is>
      </c>
      <c r="E192" s="165" t="n"/>
      <c r="F192" s="165" t="n"/>
      <c r="G192" s="194" t="n">
        <v>10</v>
      </c>
      <c r="H192" s="195">
        <f>E192/G192</f>
        <v/>
      </c>
      <c r="I192" s="107" t="n">
        <v>0.49</v>
      </c>
      <c r="J192" s="107" t="n">
        <v>0.34</v>
      </c>
      <c r="K192" s="107" t="n">
        <v>0.29</v>
      </c>
      <c r="L192" s="107" t="n">
        <v>18</v>
      </c>
      <c r="M192" s="174">
        <f>H192*I192*J192*K192</f>
        <v/>
      </c>
      <c r="N192" s="196" t="n"/>
      <c r="O192" s="167" t="n"/>
      <c r="P192" s="195">
        <f>H192*L192</f>
        <v/>
      </c>
      <c r="Q192" s="206" t="n">
        <v>3.68</v>
      </c>
      <c r="R192" s="132">
        <f>E192*Q192</f>
        <v/>
      </c>
      <c r="S192" s="132" t="n"/>
      <c r="T192" s="202" t="n">
        <v>23.2</v>
      </c>
      <c r="U192" s="70">
        <f>E192*T192</f>
        <v/>
      </c>
      <c r="V192" s="74" t="n"/>
      <c r="W192" s="174" t="n"/>
      <c r="Z192" s="44" t="n"/>
      <c r="AC192" s="45" t="n">
        <v>8423224860090</v>
      </c>
    </row>
    <row r="193" hidden="1" ht="15.65" customFormat="1" customHeight="1" s="107">
      <c r="B193" s="107" t="inlineStr">
        <is>
          <t>5-1002.21</t>
        </is>
      </c>
      <c r="C193" s="107" t="n"/>
      <c r="D193" s="107" t="inlineStr">
        <is>
          <t>亮铬</t>
        </is>
      </c>
      <c r="E193" s="183" t="n"/>
      <c r="F193" s="165" t="n"/>
      <c r="G193" s="194" t="n">
        <v>10</v>
      </c>
      <c r="H193" s="200">
        <f>E193/G193</f>
        <v/>
      </c>
      <c r="I193" s="107" t="n">
        <v>0.49</v>
      </c>
      <c r="J193" s="107" t="n">
        <v>0.34</v>
      </c>
      <c r="K193" s="107" t="n">
        <v>0.29</v>
      </c>
      <c r="L193" s="107" t="n">
        <v>18</v>
      </c>
      <c r="M193" s="201">
        <f>H193*I193*J193*K193</f>
        <v/>
      </c>
      <c r="N193" s="207" t="n"/>
      <c r="O193" s="185" t="n"/>
      <c r="P193" s="200">
        <f>H193*L193</f>
        <v/>
      </c>
      <c r="Q193" s="206" t="n">
        <v>4.5</v>
      </c>
      <c r="R193" s="28">
        <f>E193*Q193</f>
        <v/>
      </c>
      <c r="S193" s="132" t="n"/>
      <c r="T193" s="202" t="n">
        <v>28.5</v>
      </c>
      <c r="U193" s="51">
        <f>E193*T193</f>
        <v/>
      </c>
      <c r="V193" s="46" t="n"/>
      <c r="W193" s="174" t="n"/>
      <c r="Z193" s="44" t="n"/>
      <c r="AC193" s="45" t="n">
        <v>8423224860113</v>
      </c>
    </row>
    <row r="194" ht="15.65" customFormat="1" customHeight="1" s="107">
      <c r="B194" s="107" t="n"/>
      <c r="C194" s="107" t="n"/>
      <c r="E194" s="165">
        <f>SUM(E188:E193)</f>
        <v/>
      </c>
      <c r="F194" s="165" t="n"/>
      <c r="G194" s="194" t="n"/>
      <c r="H194" s="195">
        <f>SUM(H188:H193)</f>
        <v/>
      </c>
      <c r="L194" s="107" t="n"/>
      <c r="M194" s="174">
        <f>SUM(M188:M193)</f>
        <v/>
      </c>
      <c r="N194" s="196" t="n"/>
      <c r="O194" s="167" t="n"/>
      <c r="P194" s="195">
        <f>SUM(P188:P193)</f>
        <v/>
      </c>
      <c r="Q194" s="206" t="n"/>
      <c r="R194" s="132">
        <f>SUM(R188:R193)</f>
        <v/>
      </c>
      <c r="S194" s="132" t="n"/>
      <c r="T194" s="202" t="n"/>
      <c r="U194" s="70">
        <f>SUM(U188:U193)</f>
        <v/>
      </c>
      <c r="V194" s="46" t="n"/>
      <c r="W194" s="174" t="n"/>
      <c r="Z194" s="44" t="n"/>
      <c r="AC194" s="45" t="n"/>
    </row>
    <row r="195" ht="15.65" customFormat="1" customHeight="1" s="107">
      <c r="B195" s="107" t="n"/>
      <c r="C195" s="107" t="n"/>
      <c r="E195" s="165" t="n"/>
      <c r="F195" s="165" t="n"/>
      <c r="G195" s="194" t="n"/>
      <c r="H195" s="195" t="n"/>
      <c r="L195" s="107" t="n"/>
      <c r="M195" s="203" t="n"/>
      <c r="N195" s="196" t="n"/>
      <c r="O195" s="167" t="n"/>
      <c r="P195" s="70" t="n"/>
      <c r="Q195" s="206" t="n"/>
      <c r="R195" s="132" t="n"/>
      <c r="S195" s="132" t="n"/>
      <c r="T195" s="202" t="n"/>
      <c r="U195" s="70" t="n"/>
      <c r="V195" s="46" t="n"/>
      <c r="W195" s="174" t="n"/>
      <c r="Z195" s="44" t="n"/>
      <c r="AC195" s="45" t="n"/>
    </row>
    <row r="196" ht="15.65" customFormat="1" customHeight="1" s="107">
      <c r="B196" s="107" t="n"/>
      <c r="C196" s="107" t="n"/>
      <c r="E196" s="165" t="n"/>
      <c r="F196" s="165" t="n"/>
      <c r="G196" s="194" t="n"/>
      <c r="H196" s="195" t="n"/>
      <c r="I196" s="107" t="n"/>
      <c r="J196" s="107" t="n"/>
      <c r="K196" s="107" t="n"/>
      <c r="L196" s="107" t="n"/>
      <c r="M196" s="203" t="n"/>
      <c r="N196" s="196" t="n"/>
      <c r="O196" s="167" t="n"/>
      <c r="P196" s="70" t="n"/>
      <c r="Q196" s="2" t="inlineStr">
        <is>
          <t>2021.05 新价</t>
        </is>
      </c>
      <c r="R196" s="132" t="n"/>
      <c r="S196" s="132" t="n"/>
      <c r="T196" s="208" t="inlineStr">
        <is>
          <t>2023.11.09价格(同MLC)</t>
        </is>
      </c>
      <c r="U196" s="70" t="n"/>
      <c r="V196" s="74" t="n"/>
      <c r="W196" s="174" t="n"/>
      <c r="Z196" s="44" t="n"/>
      <c r="AC196" s="45" t="n"/>
    </row>
    <row r="197" ht="15.65" customFormat="1" customHeight="1" s="107">
      <c r="A197" s="127" t="inlineStr">
        <is>
          <t>001490075000107</t>
        </is>
      </c>
      <c r="B197" s="107" t="inlineStr">
        <is>
          <t>5-1490.75.01</t>
        </is>
      </c>
      <c r="D197" s="107" t="inlineStr">
        <is>
          <t>3x4" White</t>
        </is>
      </c>
      <c r="E197" s="165" t="n"/>
      <c r="F197" s="165" t="n"/>
      <c r="G197" s="194" t="n">
        <v>400</v>
      </c>
      <c r="H197" s="195">
        <f>E197/G197</f>
        <v/>
      </c>
      <c r="I197" s="107" t="n">
        <v>0.49</v>
      </c>
      <c r="J197" s="70" t="n">
        <v>0.3</v>
      </c>
      <c r="K197" s="107" t="n">
        <v>0.14</v>
      </c>
      <c r="L197" s="107" t="n">
        <v>12</v>
      </c>
      <c r="M197" s="174">
        <f>H197*I197*J197*K197</f>
        <v/>
      </c>
      <c r="N197" s="196" t="n"/>
      <c r="O197" s="167" t="n"/>
      <c r="P197" s="195">
        <f>H197*L197</f>
        <v/>
      </c>
      <c r="Q197" s="209" t="n">
        <v>0.065</v>
      </c>
      <c r="R197" s="132">
        <f>E197*Q197</f>
        <v/>
      </c>
      <c r="S197" s="132" t="n"/>
      <c r="T197" s="210" t="n">
        <v>0.39</v>
      </c>
      <c r="U197" s="70">
        <f>E197*T197</f>
        <v/>
      </c>
      <c r="V197" s="74" t="n"/>
      <c r="W197" s="169" t="n"/>
      <c r="Z197" s="44" t="n"/>
      <c r="AC197" s="45" t="n"/>
    </row>
    <row r="198" ht="15.65" customFormat="1" customHeight="1" s="107">
      <c r="A198" s="127" t="inlineStr">
        <is>
          <t>001490075000207</t>
        </is>
      </c>
      <c r="B198" s="107" t="inlineStr">
        <is>
          <t>5-1490.75.02</t>
        </is>
      </c>
      <c r="D198" s="107" t="inlineStr">
        <is>
          <t>3x4" Grey</t>
        </is>
      </c>
      <c r="E198" s="165" t="n"/>
      <c r="F198" s="165" t="n"/>
      <c r="G198" s="194" t="n">
        <v>400</v>
      </c>
      <c r="H198" s="195">
        <f>E198/G198</f>
        <v/>
      </c>
      <c r="I198" s="107" t="n">
        <v>0.49</v>
      </c>
      <c r="J198" s="70" t="n">
        <v>0.3</v>
      </c>
      <c r="K198" s="107" t="n">
        <v>0.14</v>
      </c>
      <c r="L198" s="107" t="n">
        <v>12</v>
      </c>
      <c r="M198" s="174">
        <f>H198*I198*J198*K198</f>
        <v/>
      </c>
      <c r="N198" s="196" t="n"/>
      <c r="O198" s="167" t="n"/>
      <c r="P198" s="195">
        <f>H198*L198</f>
        <v/>
      </c>
      <c r="Q198" s="209" t="n">
        <v>0.065</v>
      </c>
      <c r="R198" s="132">
        <f>E198*Q198</f>
        <v/>
      </c>
      <c r="S198" s="132" t="n"/>
      <c r="T198" s="210" t="n">
        <v>0.39</v>
      </c>
      <c r="U198" s="70">
        <f>E198*T198</f>
        <v/>
      </c>
      <c r="V198" s="74" t="n"/>
      <c r="W198" s="169" t="n"/>
      <c r="Z198" s="44" t="n"/>
      <c r="AC198" s="45" t="n"/>
    </row>
    <row r="199" ht="15.65" customFormat="1" customHeight="1" s="107">
      <c r="A199" s="127" t="inlineStr">
        <is>
          <t>001490100000107</t>
        </is>
      </c>
      <c r="B199" s="107" t="inlineStr">
        <is>
          <t>5-1490.100.01</t>
        </is>
      </c>
      <c r="D199" s="107" t="inlineStr">
        <is>
          <t>4x5" White</t>
        </is>
      </c>
      <c r="E199" s="165" t="n"/>
      <c r="F199" s="165" t="n"/>
      <c r="G199" s="194" t="n">
        <v>400</v>
      </c>
      <c r="H199" s="195">
        <f>E199/G199</f>
        <v/>
      </c>
      <c r="I199" s="99" t="n">
        <v>0.52</v>
      </c>
      <c r="J199" s="99" t="n">
        <v>0.38</v>
      </c>
      <c r="K199" s="99" t="n">
        <v>0.17</v>
      </c>
      <c r="L199" s="99" t="n">
        <v>14</v>
      </c>
      <c r="M199" s="174">
        <f>H199*I199*J199*K199</f>
        <v/>
      </c>
      <c r="N199" s="196" t="n"/>
      <c r="O199" s="167" t="n"/>
      <c r="P199" s="195">
        <f>H199*L199</f>
        <v/>
      </c>
      <c r="Q199" s="209" t="n">
        <v>0.08699999999999999</v>
      </c>
      <c r="R199" s="132">
        <f>E199*Q199</f>
        <v/>
      </c>
      <c r="S199" s="132" t="n"/>
      <c r="T199" s="210" t="n">
        <v>0.48</v>
      </c>
      <c r="U199" s="70">
        <f>E199*T199</f>
        <v/>
      </c>
      <c r="V199" s="74" t="n"/>
      <c r="W199" s="169" t="n"/>
      <c r="Z199" s="44" t="n"/>
      <c r="AC199" s="45" t="n"/>
    </row>
    <row r="200" ht="15.65" customFormat="1" customHeight="1" s="107">
      <c r="A200" s="127" t="inlineStr">
        <is>
          <t>001490100000207</t>
        </is>
      </c>
      <c r="B200" s="107" t="inlineStr">
        <is>
          <t>5-1490.100.02</t>
        </is>
      </c>
      <c r="D200" s="107" t="inlineStr">
        <is>
          <t>4x5" Grey</t>
        </is>
      </c>
      <c r="E200" s="165" t="n"/>
      <c r="F200" s="165" t="n"/>
      <c r="G200" s="194" t="n">
        <v>400</v>
      </c>
      <c r="H200" s="195">
        <f>E200/G200</f>
        <v/>
      </c>
      <c r="I200" s="99" t="n">
        <v>0.52</v>
      </c>
      <c r="J200" s="99" t="n">
        <v>0.38</v>
      </c>
      <c r="K200" s="99" t="n">
        <v>0.17</v>
      </c>
      <c r="L200" s="99" t="n">
        <v>14</v>
      </c>
      <c r="M200" s="174">
        <f>H200*I200*J200*K200</f>
        <v/>
      </c>
      <c r="N200" s="196" t="n"/>
      <c r="O200" s="167" t="n"/>
      <c r="P200" s="195">
        <f>H200*L200</f>
        <v/>
      </c>
      <c r="Q200" s="209" t="n">
        <v>0.08699999999999999</v>
      </c>
      <c r="R200" s="132">
        <f>E200*Q200</f>
        <v/>
      </c>
      <c r="S200" s="132" t="n"/>
      <c r="T200" s="210" t="n">
        <v>0.48</v>
      </c>
      <c r="U200" s="70">
        <f>E200*T200</f>
        <v/>
      </c>
      <c r="V200" s="74" t="n"/>
      <c r="W200" s="169" t="n"/>
      <c r="Z200" s="44" t="n"/>
      <c r="AC200" s="45" t="n"/>
    </row>
    <row r="201" ht="15.65" customFormat="1" customHeight="1" s="107">
      <c r="A201" s="127" t="inlineStr">
        <is>
          <t>001490125000107</t>
        </is>
      </c>
      <c r="B201" s="107" t="inlineStr">
        <is>
          <t>5-1490.125.01</t>
        </is>
      </c>
      <c r="D201" s="107" t="inlineStr">
        <is>
          <t>5x6" White</t>
        </is>
      </c>
      <c r="E201" s="165" t="n"/>
      <c r="F201" s="165" t="n"/>
      <c r="G201" s="194" t="n">
        <v>400</v>
      </c>
      <c r="H201" s="195">
        <f>E201/G201</f>
        <v/>
      </c>
      <c r="I201" s="99" t="n">
        <v>0.54</v>
      </c>
      <c r="J201" s="99" t="n">
        <v>0.43</v>
      </c>
      <c r="K201" s="99" t="n">
        <v>0.19</v>
      </c>
      <c r="L201" s="101" t="n">
        <v>20</v>
      </c>
      <c r="M201" s="174">
        <f>H201*I201*J201*K201</f>
        <v/>
      </c>
      <c r="N201" s="196" t="n"/>
      <c r="O201" s="167" t="n"/>
      <c r="P201" s="195">
        <f>H201*L201</f>
        <v/>
      </c>
      <c r="Q201" s="209" t="n">
        <v>0.12</v>
      </c>
      <c r="R201" s="132">
        <f>E201*Q201</f>
        <v/>
      </c>
      <c r="S201" s="132" t="n"/>
      <c r="T201" s="210" t="n">
        <v>0.65</v>
      </c>
      <c r="U201" s="70">
        <f>E201*T201</f>
        <v/>
      </c>
      <c r="V201" s="74" t="n"/>
      <c r="W201" s="169" t="n"/>
      <c r="Z201" s="44" t="n"/>
      <c r="AC201" s="45" t="n"/>
    </row>
    <row r="202" ht="15.65" customFormat="1" customHeight="1" s="107">
      <c r="A202" s="127" t="inlineStr">
        <is>
          <t>001490125000207</t>
        </is>
      </c>
      <c r="B202" s="107" t="inlineStr">
        <is>
          <t>5-1490.125.02</t>
        </is>
      </c>
      <c r="D202" s="107" t="inlineStr">
        <is>
          <t>5x6" Grey</t>
        </is>
      </c>
      <c r="E202" s="165" t="n"/>
      <c r="F202" s="165" t="n"/>
      <c r="G202" s="194" t="n">
        <v>400</v>
      </c>
      <c r="H202" s="195">
        <f>E202/G202</f>
        <v/>
      </c>
      <c r="I202" s="99" t="n">
        <v>0.54</v>
      </c>
      <c r="J202" s="99" t="n">
        <v>0.43</v>
      </c>
      <c r="K202" s="99" t="n">
        <v>0.19</v>
      </c>
      <c r="L202" s="101" t="n">
        <v>20</v>
      </c>
      <c r="M202" s="174">
        <f>H202*I202*J202*K202</f>
        <v/>
      </c>
      <c r="N202" s="196" t="n"/>
      <c r="O202" s="167" t="n"/>
      <c r="P202" s="195">
        <f>H202*L202</f>
        <v/>
      </c>
      <c r="Q202" s="209" t="n">
        <v>0.12</v>
      </c>
      <c r="R202" s="132">
        <f>E202*Q202</f>
        <v/>
      </c>
      <c r="S202" s="132" t="n"/>
      <c r="T202" s="210" t="n">
        <v>0.65</v>
      </c>
      <c r="U202" s="70">
        <f>E202*T202</f>
        <v/>
      </c>
      <c r="V202" s="74" t="n"/>
      <c r="W202" s="169" t="n"/>
      <c r="Z202" s="44" t="n"/>
      <c r="AC202" s="45" t="n"/>
    </row>
    <row r="203" ht="15.65" customFormat="1" customHeight="1" s="107">
      <c r="A203" s="127" t="inlineStr">
        <is>
          <t>001490150000107</t>
        </is>
      </c>
      <c r="B203" s="107" t="inlineStr">
        <is>
          <t>5-1490.150.01</t>
        </is>
      </c>
      <c r="D203" s="107" t="inlineStr">
        <is>
          <t>6x8" White</t>
        </is>
      </c>
      <c r="E203" s="165" t="n"/>
      <c r="F203" s="165" t="n"/>
      <c r="G203" s="194" t="n">
        <v>200</v>
      </c>
      <c r="H203" s="195">
        <f>E203/G203</f>
        <v/>
      </c>
      <c r="I203" s="99" t="n">
        <v>0.39</v>
      </c>
      <c r="J203" s="99" t="n">
        <v>0.26</v>
      </c>
      <c r="K203" s="99" t="n">
        <v>0.25</v>
      </c>
      <c r="L203" s="101" t="n">
        <v>11</v>
      </c>
      <c r="M203" s="174">
        <f>H203*I203*J203*K203</f>
        <v/>
      </c>
      <c r="N203" s="196" t="n"/>
      <c r="O203" s="167" t="n"/>
      <c r="P203" s="195">
        <f>H203*L203</f>
        <v/>
      </c>
      <c r="Q203" s="209" t="n">
        <v>0.152</v>
      </c>
      <c r="R203" s="132">
        <f>E203*Q203</f>
        <v/>
      </c>
      <c r="S203" s="132" t="n"/>
      <c r="T203" s="210" t="n">
        <v>0.84</v>
      </c>
      <c r="U203" s="70">
        <f>E203*T203</f>
        <v/>
      </c>
      <c r="V203" s="74" t="n"/>
      <c r="W203" s="169" t="n"/>
      <c r="Z203" s="44" t="n"/>
      <c r="AC203" s="45" t="n"/>
    </row>
    <row r="204" ht="15.65" customFormat="1" customHeight="1" s="107">
      <c r="A204" s="127" t="inlineStr">
        <is>
          <t>001490150000207</t>
        </is>
      </c>
      <c r="B204" s="107" t="inlineStr">
        <is>
          <t>5-1490.150.02</t>
        </is>
      </c>
      <c r="D204" s="107" t="inlineStr">
        <is>
          <t>6x8" Grey</t>
        </is>
      </c>
      <c r="E204" s="165" t="n"/>
      <c r="F204" s="165" t="n"/>
      <c r="G204" s="194" t="n">
        <v>200</v>
      </c>
      <c r="H204" s="195">
        <f>E204/G204</f>
        <v/>
      </c>
      <c r="I204" s="99" t="n">
        <v>0.39</v>
      </c>
      <c r="J204" s="99" t="n">
        <v>0.26</v>
      </c>
      <c r="K204" s="99" t="n">
        <v>0.25</v>
      </c>
      <c r="L204" s="101" t="n">
        <v>11</v>
      </c>
      <c r="M204" s="174">
        <f>H204*I204*J204*K204</f>
        <v/>
      </c>
      <c r="N204" s="196" t="n"/>
      <c r="O204" s="167" t="n"/>
      <c r="P204" s="195">
        <f>H204*L204</f>
        <v/>
      </c>
      <c r="Q204" s="209" t="n">
        <v>0.152</v>
      </c>
      <c r="R204" s="132">
        <f>E204*Q204</f>
        <v/>
      </c>
      <c r="S204" s="132" t="n"/>
      <c r="T204" s="210" t="n">
        <v>0.84</v>
      </c>
      <c r="U204" s="70">
        <f>E204*T204</f>
        <v/>
      </c>
      <c r="V204" s="74" t="n"/>
      <c r="W204" s="169" t="n"/>
      <c r="Z204" s="44" t="n"/>
      <c r="AC204" s="45" t="n"/>
    </row>
    <row r="205" ht="15.65" customFormat="1" customHeight="1" s="107">
      <c r="A205" s="127" t="inlineStr">
        <is>
          <t>001490175000107</t>
        </is>
      </c>
      <c r="B205" s="107" t="inlineStr">
        <is>
          <t>5-1490.175.01</t>
        </is>
      </c>
      <c r="D205" s="107" t="inlineStr">
        <is>
          <t>7x9" White</t>
        </is>
      </c>
      <c r="E205" s="165" t="n"/>
      <c r="F205" s="165" t="n"/>
      <c r="G205" s="194" t="n">
        <v>200</v>
      </c>
      <c r="H205" s="195">
        <f>E205/G205</f>
        <v/>
      </c>
      <c r="I205" s="107" t="n">
        <v>0.45</v>
      </c>
      <c r="J205" s="107" t="n">
        <v>0.33</v>
      </c>
      <c r="K205" s="107" t="n">
        <v>0.27</v>
      </c>
      <c r="L205" s="107" t="n">
        <v>18</v>
      </c>
      <c r="M205" s="174">
        <f>H205*I205*J205*K205</f>
        <v/>
      </c>
      <c r="N205" s="196" t="n"/>
      <c r="O205" s="167" t="n"/>
      <c r="P205" s="195">
        <f>H205*L205</f>
        <v/>
      </c>
      <c r="Q205" s="209" t="n">
        <v>0.209</v>
      </c>
      <c r="R205" s="132">
        <f>E205*Q205</f>
        <v/>
      </c>
      <c r="S205" s="132" t="n"/>
      <c r="T205" s="210" t="n"/>
      <c r="U205" s="70">
        <f>E205*T205</f>
        <v/>
      </c>
      <c r="V205" s="74" t="n"/>
      <c r="W205" s="169" t="n"/>
      <c r="Z205" s="44" t="n"/>
      <c r="AC205" s="45" t="n"/>
    </row>
    <row r="206" ht="15.65" customFormat="1" customHeight="1" s="107">
      <c r="A206" s="127" t="inlineStr">
        <is>
          <t>001490175000207</t>
        </is>
      </c>
      <c r="B206" s="107" t="inlineStr">
        <is>
          <t>5-1490.175.02</t>
        </is>
      </c>
      <c r="D206" s="107" t="inlineStr">
        <is>
          <t>7x9" Grey</t>
        </is>
      </c>
      <c r="E206" s="165" t="n"/>
      <c r="F206" s="165" t="n"/>
      <c r="G206" s="194" t="n">
        <v>200</v>
      </c>
      <c r="H206" s="195">
        <f>E206/G206</f>
        <v/>
      </c>
      <c r="I206" s="107" t="n">
        <v>0.45</v>
      </c>
      <c r="J206" s="107" t="n">
        <v>0.33</v>
      </c>
      <c r="K206" s="107" t="n">
        <v>0.27</v>
      </c>
      <c r="L206" s="107" t="n">
        <v>18</v>
      </c>
      <c r="M206" s="174">
        <f>H206*I206*J206*K206</f>
        <v/>
      </c>
      <c r="N206" s="196" t="n"/>
      <c r="O206" s="167" t="n"/>
      <c r="P206" s="195">
        <f>H206*L206</f>
        <v/>
      </c>
      <c r="Q206" s="209" t="n">
        <v>0.209</v>
      </c>
      <c r="R206" s="132">
        <f>E206*Q206</f>
        <v/>
      </c>
      <c r="S206" s="132" t="n"/>
      <c r="T206" s="210" t="n"/>
      <c r="U206" s="70">
        <f>E206*T206</f>
        <v/>
      </c>
      <c r="V206" s="74" t="n"/>
      <c r="W206" s="169" t="n"/>
      <c r="Z206" s="44" t="n"/>
      <c r="AC206" s="45" t="n"/>
    </row>
    <row r="207" ht="15.65" customFormat="1" customHeight="1" s="107">
      <c r="A207" s="127" t="inlineStr">
        <is>
          <t>001490200000107</t>
        </is>
      </c>
      <c r="B207" s="107" t="inlineStr">
        <is>
          <t>5-1490.200.01</t>
        </is>
      </c>
      <c r="D207" s="107" t="inlineStr">
        <is>
          <t>8x10" White</t>
        </is>
      </c>
      <c r="E207" s="165" t="n"/>
      <c r="F207" s="165" t="n"/>
      <c r="G207" s="194" t="n">
        <v>200</v>
      </c>
      <c r="H207" s="195">
        <f>E207/G207</f>
        <v/>
      </c>
      <c r="I207" s="99" t="n">
        <v>0.52</v>
      </c>
      <c r="J207" s="99" t="n">
        <v>0.31</v>
      </c>
      <c r="K207" s="99" t="n">
        <v>0.26</v>
      </c>
      <c r="L207" s="102" t="n">
        <v>17</v>
      </c>
      <c r="M207" s="174">
        <f>H207*I207*J207*K207</f>
        <v/>
      </c>
      <c r="N207" s="196" t="n"/>
      <c r="O207" s="167" t="n"/>
      <c r="P207" s="195">
        <f>H207*L207</f>
        <v/>
      </c>
      <c r="Q207" s="209" t="n">
        <v>0.218</v>
      </c>
      <c r="R207" s="132">
        <f>E207*Q207</f>
        <v/>
      </c>
      <c r="S207" s="132" t="n"/>
      <c r="T207" s="210" t="n">
        <v>1.28</v>
      </c>
      <c r="U207" s="70">
        <f>E207*T207</f>
        <v/>
      </c>
      <c r="V207" s="74" t="n"/>
      <c r="W207" s="169" t="n"/>
      <c r="Z207" s="44" t="n"/>
      <c r="AC207" s="45" t="n"/>
    </row>
    <row r="208" ht="15.65" customFormat="1" customHeight="1" s="107">
      <c r="A208" s="127" t="inlineStr">
        <is>
          <t>001490200000207</t>
        </is>
      </c>
      <c r="B208" s="107" t="inlineStr">
        <is>
          <t>5-1490.200.02</t>
        </is>
      </c>
      <c r="D208" s="107" t="inlineStr">
        <is>
          <t>8x10" Grey</t>
        </is>
      </c>
      <c r="E208" s="165" t="n"/>
      <c r="F208" s="165" t="n"/>
      <c r="G208" s="194" t="n">
        <v>200</v>
      </c>
      <c r="H208" s="195">
        <f>E208/G208</f>
        <v/>
      </c>
      <c r="I208" s="99" t="n">
        <v>0.52</v>
      </c>
      <c r="J208" s="99" t="n">
        <v>0.31</v>
      </c>
      <c r="K208" s="99" t="n">
        <v>0.26</v>
      </c>
      <c r="L208" s="102" t="n">
        <v>17</v>
      </c>
      <c r="M208" s="174">
        <f>H208*I208*J208*K208</f>
        <v/>
      </c>
      <c r="N208" s="196" t="n"/>
      <c r="O208" s="167" t="n"/>
      <c r="P208" s="195">
        <f>H208*L208</f>
        <v/>
      </c>
      <c r="Q208" s="209" t="n">
        <v>0.218</v>
      </c>
      <c r="R208" s="132">
        <f>E208*Q208</f>
        <v/>
      </c>
      <c r="S208" s="132" t="n"/>
      <c r="T208" s="210" t="n">
        <v>1.28</v>
      </c>
      <c r="U208" s="70">
        <f>E208*T208</f>
        <v/>
      </c>
      <c r="V208" s="74" t="n"/>
      <c r="W208" s="169" t="n"/>
      <c r="Z208" s="44" t="n"/>
      <c r="AC208" s="45" t="n"/>
    </row>
    <row r="209" ht="15.65" customFormat="1" customHeight="1" s="107">
      <c r="A209" s="127" t="inlineStr">
        <is>
          <t>001490250000107</t>
        </is>
      </c>
      <c r="B209" s="107" t="inlineStr">
        <is>
          <t>5-1490.250.01</t>
        </is>
      </c>
      <c r="D209" s="107" t="inlineStr">
        <is>
          <t>10x12" White</t>
        </is>
      </c>
      <c r="E209" s="165" t="n"/>
      <c r="F209" s="165" t="n"/>
      <c r="G209" s="194" t="n">
        <v>100</v>
      </c>
      <c r="H209" s="195">
        <f>E209/G209</f>
        <v/>
      </c>
      <c r="I209" s="99" t="n">
        <v>0.35</v>
      </c>
      <c r="J209" s="99" t="n">
        <v>0.28</v>
      </c>
      <c r="K209" s="99" t="n">
        <v>0.31</v>
      </c>
      <c r="L209" s="103" t="n">
        <v>15</v>
      </c>
      <c r="M209" s="174">
        <f>H209*I209*J209*K209</f>
        <v/>
      </c>
      <c r="N209" s="196" t="n"/>
      <c r="O209" s="167" t="n"/>
      <c r="P209" s="195">
        <f>H209*L209</f>
        <v/>
      </c>
      <c r="Q209" s="209" t="n">
        <v>0.327</v>
      </c>
      <c r="R209" s="132">
        <f>E209*Q209</f>
        <v/>
      </c>
      <c r="S209" s="132" t="n"/>
      <c r="T209" s="210" t="n">
        <v>1.9</v>
      </c>
      <c r="U209" s="70">
        <f>E209*T209</f>
        <v/>
      </c>
      <c r="V209" s="74" t="n"/>
      <c r="W209" s="169" t="n"/>
      <c r="Z209" s="44" t="n"/>
      <c r="AC209" s="45" t="n"/>
    </row>
    <row r="210" ht="15.65" customFormat="1" customHeight="1" s="107">
      <c r="A210" s="127" t="inlineStr">
        <is>
          <t>001490250000207</t>
        </is>
      </c>
      <c r="B210" s="107" t="inlineStr">
        <is>
          <t>5-1490.250.02</t>
        </is>
      </c>
      <c r="D210" s="107" t="inlineStr">
        <is>
          <t>10x12" Grey</t>
        </is>
      </c>
      <c r="E210" s="165" t="n"/>
      <c r="F210" s="165" t="n"/>
      <c r="G210" s="194" t="n">
        <v>100</v>
      </c>
      <c r="H210" s="195">
        <f>E210/G210</f>
        <v/>
      </c>
      <c r="I210" s="99" t="n">
        <v>0.35</v>
      </c>
      <c r="J210" s="99" t="n">
        <v>0.28</v>
      </c>
      <c r="K210" s="99" t="n">
        <v>0.31</v>
      </c>
      <c r="L210" s="103" t="n">
        <v>15</v>
      </c>
      <c r="M210" s="174">
        <f>H210*I210*J210*K210</f>
        <v/>
      </c>
      <c r="N210" s="196" t="n"/>
      <c r="O210" s="167" t="n"/>
      <c r="P210" s="195">
        <f>H210*L210</f>
        <v/>
      </c>
      <c r="Q210" s="209" t="n">
        <v>0.327</v>
      </c>
      <c r="R210" s="132">
        <f>E210*Q210</f>
        <v/>
      </c>
      <c r="S210" s="132" t="n"/>
      <c r="T210" s="210" t="n">
        <v>1.9</v>
      </c>
      <c r="U210" s="70">
        <f>E210*T210</f>
        <v/>
      </c>
      <c r="V210" s="74" t="n"/>
      <c r="W210" s="169" t="n"/>
      <c r="Z210" s="44" t="n"/>
      <c r="AC210" s="45" t="n"/>
    </row>
    <row r="211" ht="15.65" customFormat="1" customHeight="1" s="107">
      <c r="A211" s="127" t="inlineStr">
        <is>
          <t>001490300000107</t>
        </is>
      </c>
      <c r="B211" s="107" t="inlineStr">
        <is>
          <t>5-1490.300.01</t>
        </is>
      </c>
      <c r="D211" s="107" t="inlineStr">
        <is>
          <t>12x14" White</t>
        </is>
      </c>
      <c r="E211" s="165" t="n"/>
      <c r="F211" s="165" t="n"/>
      <c r="G211" s="194" t="n">
        <v>100</v>
      </c>
      <c r="H211" s="195">
        <f>E211/G211</f>
        <v/>
      </c>
      <c r="I211" s="99" t="n">
        <v>0.42</v>
      </c>
      <c r="J211" s="99" t="n">
        <v>0.29</v>
      </c>
      <c r="K211" s="99" t="n">
        <v>0.37</v>
      </c>
      <c r="L211" s="103" t="n">
        <v>18</v>
      </c>
      <c r="M211" s="174">
        <f>H211*I211*J211*K211</f>
        <v/>
      </c>
      <c r="N211" s="196" t="n"/>
      <c r="O211" s="167" t="n"/>
      <c r="P211" s="195">
        <f>H211*L211</f>
        <v/>
      </c>
      <c r="Q211" s="209" t="n">
        <v>0.397</v>
      </c>
      <c r="R211" s="132">
        <f>E211*Q211</f>
        <v/>
      </c>
      <c r="S211" s="132" t="n"/>
      <c r="T211" s="210" t="n">
        <v>2.16</v>
      </c>
      <c r="U211" s="70">
        <f>E211*T211</f>
        <v/>
      </c>
      <c r="V211" s="74" t="n"/>
      <c r="W211" s="169" t="n"/>
      <c r="Z211" s="44" t="n"/>
      <c r="AC211" s="45" t="n"/>
    </row>
    <row r="212" ht="15.65" customFormat="1" customHeight="1" s="107">
      <c r="A212" s="127" t="inlineStr">
        <is>
          <t>001490300000207</t>
        </is>
      </c>
      <c r="B212" s="107" t="inlineStr">
        <is>
          <t>5-1490.300.02</t>
        </is>
      </c>
      <c r="D212" s="107" t="inlineStr">
        <is>
          <t>12x14" Grey</t>
        </is>
      </c>
      <c r="E212" s="183" t="n"/>
      <c r="F212" s="165" t="n"/>
      <c r="G212" s="194" t="n">
        <v>100</v>
      </c>
      <c r="H212" s="200">
        <f>E212/G212</f>
        <v/>
      </c>
      <c r="I212" s="99" t="n">
        <v>0.42</v>
      </c>
      <c r="J212" s="99" t="n">
        <v>0.29</v>
      </c>
      <c r="K212" s="99" t="n">
        <v>0.37</v>
      </c>
      <c r="L212" s="103" t="n">
        <v>18</v>
      </c>
      <c r="M212" s="174">
        <f>H212*I212*J212*K212</f>
        <v/>
      </c>
      <c r="N212" s="196" t="n"/>
      <c r="O212" s="167" t="n"/>
      <c r="P212" s="195">
        <f>H212*L212</f>
        <v/>
      </c>
      <c r="Q212" s="209" t="n">
        <v>0.397</v>
      </c>
      <c r="R212" s="28">
        <f>E212*Q212</f>
        <v/>
      </c>
      <c r="S212" s="132" t="n"/>
      <c r="T212" s="210" t="n">
        <v>2.16</v>
      </c>
      <c r="U212" s="51">
        <f>E212*T212</f>
        <v/>
      </c>
      <c r="V212" s="74" t="n"/>
      <c r="W212" s="169" t="n"/>
      <c r="Z212" s="44" t="n"/>
      <c r="AC212" s="45" t="n"/>
    </row>
    <row r="213" ht="15.65" customFormat="1" customHeight="1" s="107">
      <c r="B213" s="107" t="n"/>
      <c r="C213" s="107" t="n"/>
      <c r="E213" s="165">
        <f>SUM(E197:E212)</f>
        <v/>
      </c>
      <c r="F213" s="165" t="n"/>
      <c r="G213" s="194" t="n"/>
      <c r="H213" s="195">
        <f>SUM(H197:H212)</f>
        <v/>
      </c>
      <c r="I213" s="107" t="n"/>
      <c r="J213" s="107" t="n"/>
      <c r="K213" s="107" t="n"/>
      <c r="L213" s="107" t="n"/>
      <c r="M213" s="174">
        <f>SUM(M197:M212)</f>
        <v/>
      </c>
      <c r="N213" s="196" t="n"/>
      <c r="O213" s="167" t="n"/>
      <c r="P213" s="195">
        <f>SUM(P197:P212)</f>
        <v/>
      </c>
      <c r="Q213" s="209" t="n"/>
      <c r="R213" s="132">
        <f>SUM(R197:R212)</f>
        <v/>
      </c>
      <c r="S213" s="132" t="n"/>
      <c r="U213" s="70">
        <f>SUM(U197:U212)</f>
        <v/>
      </c>
      <c r="V213" s="203">
        <f>U213/R213</f>
        <v/>
      </c>
      <c r="W213" s="174" t="n"/>
      <c r="Z213" s="44" t="n"/>
      <c r="AC213" s="45" t="n"/>
    </row>
    <row r="214" ht="15.65" customFormat="1" customHeight="1" s="107">
      <c r="B214" s="107" t="n"/>
      <c r="C214" s="107" t="n"/>
      <c r="E214" s="165" t="n"/>
      <c r="F214" s="165" t="n"/>
      <c r="G214" s="194" t="n"/>
      <c r="H214" s="195" t="n"/>
      <c r="I214" s="107" t="n"/>
      <c r="J214" s="107" t="n"/>
      <c r="K214" s="107" t="n"/>
      <c r="L214" s="107" t="n"/>
      <c r="M214" s="174" t="n"/>
      <c r="N214" s="196" t="n"/>
      <c r="O214" s="167" t="n"/>
      <c r="P214" s="70" t="n"/>
      <c r="Q214" s="209" t="n"/>
      <c r="R214" s="28" t="n"/>
      <c r="S214" s="28" t="n"/>
      <c r="T214" s="211" t="n"/>
      <c r="U214" s="51" t="n"/>
      <c r="V214" s="107" t="n"/>
      <c r="W214" s="174" t="n"/>
      <c r="X214" s="76" t="n"/>
      <c r="Z214" s="44" t="n"/>
      <c r="AC214" s="45" t="n"/>
    </row>
    <row r="215" ht="15.65" customFormat="1" customHeight="1" s="107">
      <c r="B215" s="107" t="n"/>
      <c r="C215" s="107" t="n"/>
      <c r="E215" s="165" t="n"/>
      <c r="F215" s="165" t="n"/>
      <c r="G215" s="194" t="n"/>
      <c r="H215" s="195" t="n"/>
      <c r="I215" s="107" t="n"/>
      <c r="J215" s="107" t="n"/>
      <c r="K215" s="107" t="n"/>
      <c r="L215" s="107" t="n"/>
      <c r="M215" s="174" t="n"/>
      <c r="N215" s="196" t="n"/>
      <c r="O215" s="167" t="n"/>
      <c r="P215" s="70" t="n"/>
      <c r="Q215" s="209" t="n"/>
      <c r="R215" s="132">
        <f>SUM(R213:R214)</f>
        <v/>
      </c>
      <c r="S215" s="132" t="n"/>
      <c r="T215" s="202" t="n"/>
      <c r="U215" s="70">
        <f>SUM(U213)</f>
        <v/>
      </c>
      <c r="V215" s="107" t="n"/>
      <c r="W215" s="174" t="n"/>
      <c r="X215" s="76" t="n"/>
      <c r="Z215" s="44" t="n"/>
      <c r="AC215" s="45" t="n"/>
    </row>
    <row r="216" ht="15.65" customFormat="1" customHeight="1" s="107">
      <c r="B216" s="107" t="n"/>
      <c r="C216" s="107" t="n"/>
      <c r="E216" s="165" t="n"/>
      <c r="F216" s="165" t="n"/>
      <c r="G216" s="194" t="n"/>
      <c r="H216" s="195" t="n"/>
      <c r="I216" s="107" t="n"/>
      <c r="J216" s="107" t="n"/>
      <c r="K216" s="107" t="n"/>
      <c r="L216" s="107" t="n"/>
      <c r="M216" s="174" t="n"/>
      <c r="N216" s="196" t="n"/>
      <c r="O216" s="167" t="n"/>
      <c r="P216" s="70" t="n"/>
      <c r="Q216" s="209" t="n"/>
      <c r="R216" s="132" t="n"/>
      <c r="S216" s="132" t="n"/>
      <c r="T216" s="202" t="n"/>
      <c r="U216" s="70" t="n"/>
      <c r="V216" s="107" t="n"/>
      <c r="W216" s="174" t="n"/>
      <c r="X216" s="76" t="n"/>
      <c r="Z216" s="44" t="n"/>
      <c r="AC216" s="45" t="n"/>
    </row>
    <row r="217" ht="15.65" customFormat="1" customHeight="1" s="107">
      <c r="B217" s="107" t="n"/>
      <c r="C217" s="107" t="n"/>
      <c r="E217" s="183" t="n"/>
      <c r="F217" s="165" t="n"/>
      <c r="G217" s="194" t="n"/>
      <c r="H217" s="200" t="n"/>
      <c r="L217" s="107" t="n"/>
      <c r="M217" s="212" t="n"/>
      <c r="N217" s="207" t="n"/>
      <c r="O217" s="185" t="n"/>
      <c r="P217" s="51" t="n"/>
      <c r="Q217" s="206" t="n"/>
      <c r="R217" s="28" t="n"/>
      <c r="S217" s="132" t="n"/>
      <c r="T217" s="202" t="n"/>
      <c r="U217" s="70" t="n"/>
      <c r="V217" s="46" t="n"/>
      <c r="W217" s="174" t="n"/>
      <c r="Z217" s="44" t="n"/>
      <c r="AC217" s="45" t="n"/>
    </row>
    <row r="218" ht="15.65" customFormat="1" customHeight="1" s="107">
      <c r="B218" s="106" t="inlineStr">
        <is>
          <t>永康</t>
        </is>
      </c>
      <c r="C218" s="106" t="n"/>
      <c r="E218" s="213">
        <f>E182+E194+E213</f>
        <v/>
      </c>
      <c r="F218" s="213" t="n"/>
      <c r="G218" s="196" t="n"/>
      <c r="H218" s="214">
        <f>H182+H194+H213</f>
        <v/>
      </c>
      <c r="I218" s="88" t="n"/>
      <c r="J218" s="88" t="n"/>
      <c r="K218" s="88" t="n"/>
      <c r="L218" s="177" t="n"/>
      <c r="M218" s="215">
        <f>M182+M194+M213</f>
        <v/>
      </c>
      <c r="N218" s="196" t="n"/>
      <c r="O218" s="216">
        <f>O182+O194+O213</f>
        <v/>
      </c>
      <c r="P218" s="216">
        <f>P182+P194+P213</f>
        <v/>
      </c>
      <c r="Q218" s="217" t="n"/>
      <c r="R218" s="218">
        <f>R184+R194+R215</f>
        <v/>
      </c>
      <c r="S218" s="218" t="n"/>
      <c r="T218" s="219" t="n"/>
      <c r="U218" s="220">
        <f>U186+U194+U215</f>
        <v/>
      </c>
      <c r="V218" s="203" t="n"/>
      <c r="Z218" s="44" t="n"/>
      <c r="AC218" s="45" t="n"/>
    </row>
    <row r="219" ht="15.65" customFormat="1" customHeight="1" s="107">
      <c r="B219" s="106" t="n"/>
      <c r="C219" s="106" t="n"/>
      <c r="E219" s="170" t="n"/>
      <c r="F219" s="170" t="n"/>
      <c r="G219" s="194" t="n"/>
      <c r="H219" s="70" t="n"/>
      <c r="M219" s="203" t="n"/>
      <c r="N219" s="196" t="n"/>
      <c r="O219" s="203" t="n"/>
      <c r="P219" s="70" t="n"/>
      <c r="Q219" s="221" t="n"/>
      <c r="R219" s="132" t="n"/>
      <c r="S219" s="132" t="n"/>
      <c r="T219" s="202" t="n"/>
      <c r="U219" s="70" t="n"/>
      <c r="V219" s="46" t="n"/>
      <c r="Z219" s="44" t="n"/>
      <c r="AC219" s="45" t="n"/>
    </row>
    <row r="220" ht="15.65" customFormat="1" customHeight="1" s="107">
      <c r="B220" s="106" t="n"/>
      <c r="C220" s="106" t="n"/>
      <c r="E220" s="170" t="n"/>
      <c r="F220" s="170" t="n"/>
      <c r="G220" s="194" t="n"/>
      <c r="H220" s="70" t="n"/>
      <c r="M220" s="203" t="n"/>
      <c r="N220" s="196" t="n"/>
      <c r="O220" s="203" t="n"/>
      <c r="P220" s="70" t="n"/>
      <c r="Q220" s="221" t="n"/>
      <c r="R220" s="132" t="n"/>
      <c r="S220" s="132" t="n"/>
      <c r="T220" s="202" t="n"/>
      <c r="U220" s="70" t="n"/>
      <c r="V220" s="46" t="n"/>
      <c r="Z220" s="44" t="n"/>
      <c r="AC220" s="45" t="n"/>
    </row>
    <row r="221" ht="15.65" customFormat="1" customHeight="1" s="107">
      <c r="B221" s="106" t="n"/>
      <c r="C221" s="106" t="n"/>
      <c r="E221" s="170" t="n"/>
      <c r="F221" s="170" t="n"/>
      <c r="G221" s="194" t="n"/>
      <c r="H221" s="70" t="n"/>
      <c r="M221" s="203" t="n"/>
      <c r="N221" s="196" t="n"/>
      <c r="O221" s="203" t="n"/>
      <c r="P221" s="70" t="n"/>
      <c r="Q221" s="222" t="n"/>
      <c r="R221" s="132" t="n"/>
      <c r="S221" s="132" t="n"/>
      <c r="T221" s="202" t="n"/>
      <c r="U221" s="70" t="n"/>
      <c r="V221" s="46" t="n"/>
      <c r="W221" s="107">
        <f>U221/R218</f>
        <v/>
      </c>
      <c r="Z221" s="44" t="n"/>
      <c r="AC221" s="45" t="n"/>
    </row>
    <row r="222" ht="15.65" customHeight="1">
      <c r="E222" s="223" t="n"/>
      <c r="F222" s="223" t="n"/>
      <c r="H222" s="157" t="n"/>
      <c r="R222" s="132" t="n"/>
      <c r="S222" s="132" t="n"/>
      <c r="U222" s="157" t="n"/>
    </row>
    <row r="223" ht="15.65" customHeight="1">
      <c r="E223" s="80">
        <f>E165+E218</f>
        <v/>
      </c>
      <c r="F223" s="80" t="n"/>
      <c r="G223" s="80" t="n"/>
      <c r="H223" s="157">
        <f>H165+H218</f>
        <v/>
      </c>
      <c r="M223" s="157">
        <f>M165+M218</f>
        <v/>
      </c>
      <c r="N223" s="157" t="n"/>
      <c r="O223" s="157">
        <f>O133+O157+O218</f>
        <v/>
      </c>
      <c r="P223" s="157">
        <f>P133+P157+P218</f>
        <v/>
      </c>
      <c r="R223" s="157">
        <f>R165+R218</f>
        <v/>
      </c>
      <c r="S223" s="157" t="n"/>
      <c r="T223" s="157" t="n"/>
      <c r="U223" s="157">
        <f>U165+U218</f>
        <v/>
      </c>
      <c r="W223" s="76">
        <f>U223/R223</f>
        <v/>
      </c>
    </row>
    <row r="224" ht="15.65" customHeight="1">
      <c r="Q224" s="115" t="n"/>
      <c r="R224" s="70" t="n"/>
      <c r="S224" s="70" t="n"/>
    </row>
    <row r="225" ht="15.65" customHeight="1">
      <c r="Q225" s="115" t="n"/>
      <c r="R225" s="70" t="n"/>
      <c r="S225" s="70" t="n"/>
    </row>
    <row r="226" ht="15.65" customHeight="1">
      <c r="Q226" s="115" t="n"/>
      <c r="R226" s="70" t="n"/>
      <c r="S226" s="70" t="n"/>
    </row>
    <row r="227" ht="15.65" customHeight="1">
      <c r="P227" s="76">
        <f>R223/E223</f>
        <v/>
      </c>
      <c r="Q227" s="115" t="n"/>
      <c r="R227" s="70" t="n"/>
      <c r="S227" s="70" t="n"/>
    </row>
    <row r="228" ht="15.65" customHeight="1">
      <c r="Q228" s="2" t="inlineStr">
        <is>
          <t>托盘费</t>
        </is>
      </c>
      <c r="R228" s="132" t="n"/>
      <c r="S228" s="132" t="n"/>
      <c r="U228" s="76">
        <f>U223/R230</f>
        <v/>
      </c>
    </row>
    <row r="229" ht="15.65" customHeight="1">
      <c r="M229" s="224" t="n"/>
    </row>
    <row r="230" ht="15.65" customHeight="1">
      <c r="R230" s="225">
        <f>R223+R228</f>
        <v/>
      </c>
      <c r="S230" s="225" t="n"/>
    </row>
  </sheetData>
  <mergeCells count="3">
    <mergeCell ref="A151:A154"/>
    <mergeCell ref="A149:A150"/>
    <mergeCell ref="A141:A148"/>
  </mergeCells>
  <pageMargins left="0.75" right="0.75" top="1" bottom="1" header="0.5" footer="0.5"/>
  <pageSetup orientation="portrait" paperSize="9" horizontalDpi="204" verticalDpi="19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cjq</dc:creator>
  <dcterms:created xsi:type="dcterms:W3CDTF">2001-09-12T07:47:47Z</dcterms:created>
  <dcterms:modified xsi:type="dcterms:W3CDTF">2026-02-09T01:09:55Z</dcterms:modified>
  <cp:lastModifiedBy>CJQ</cp:lastModifiedBy>
</cp:coreProperties>
</file>