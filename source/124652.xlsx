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cuments\excel\陈凯亮\REI\"/>
    </mc:Choice>
  </mc:AlternateContent>
  <xr:revisionPtr revIDLastSave="0" documentId="13_ncr:9_{C4EAB39B-D631-4844-B888-33FEF69DB223}" xr6:coauthVersionLast="47" xr6:coauthVersionMax="47" xr10:uidLastSave="{00000000-0000-0000-0000-000000000000}"/>
  <bookViews>
    <workbookView xWindow="1190" yWindow="830" windowWidth="17900" windowHeight="8950" xr2:uid="{F774A235-970D-407B-B54F-4CF685E98A91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O150" i="1" l="1"/>
  <c r="O149" i="1"/>
  <c r="O148" i="1"/>
  <c r="O147" i="1"/>
  <c r="O146" i="1"/>
  <c r="O145" i="1"/>
  <c r="O144" i="1"/>
  <c r="O143" i="1"/>
  <c r="O142" i="1"/>
  <c r="O141" i="1"/>
  <c r="O157" i="1"/>
  <c r="Q19" i="1"/>
  <c r="Q131" i="1"/>
  <c r="Q130" i="1"/>
  <c r="Q129" i="1"/>
  <c r="Q128" i="1"/>
  <c r="Q124" i="1"/>
  <c r="Q125" i="1"/>
  <c r="Q126" i="1"/>
  <c r="Q123" i="1"/>
  <c r="Q115" i="1"/>
  <c r="Q121" i="1"/>
  <c r="R121" i="1"/>
  <c r="Q120" i="1"/>
  <c r="Q119" i="1"/>
  <c r="Q116" i="1"/>
  <c r="Q117" i="1"/>
  <c r="Q111" i="1"/>
  <c r="Q112" i="1"/>
  <c r="Q113" i="1"/>
  <c r="Q110" i="1"/>
  <c r="R110" i="1"/>
  <c r="Q109" i="1"/>
  <c r="Q106" i="1"/>
  <c r="Q107" i="1"/>
  <c r="Q105" i="1"/>
  <c r="R105" i="1"/>
  <c r="Q102" i="1"/>
  <c r="Q99" i="1"/>
  <c r="Q100" i="1"/>
  <c r="R100" i="1"/>
  <c r="Q96" i="1"/>
  <c r="Q95" i="1"/>
  <c r="Q90" i="1"/>
  <c r="Q82" i="1"/>
  <c r="Q83" i="1"/>
  <c r="Q84" i="1"/>
  <c r="R84" i="1"/>
  <c r="Q85" i="1"/>
  <c r="R85" i="1"/>
  <c r="Q86" i="1"/>
  <c r="Q87" i="1"/>
  <c r="Q88" i="1"/>
  <c r="R88" i="1"/>
  <c r="Q81" i="1"/>
  <c r="Q73" i="1"/>
  <c r="Q74" i="1"/>
  <c r="Q75" i="1"/>
  <c r="Q76" i="1"/>
  <c r="Q77" i="1"/>
  <c r="Q78" i="1"/>
  <c r="Q79" i="1"/>
  <c r="Q72" i="1"/>
  <c r="Q58" i="1"/>
  <c r="Q59" i="1"/>
  <c r="Q60" i="1"/>
  <c r="Q61" i="1"/>
  <c r="R61" i="1"/>
  <c r="Q62" i="1"/>
  <c r="Q63" i="1"/>
  <c r="Q64" i="1"/>
  <c r="Q65" i="1"/>
  <c r="R65" i="1"/>
  <c r="Q66" i="1"/>
  <c r="Q67" i="1"/>
  <c r="Q68" i="1"/>
  <c r="Q69" i="1"/>
  <c r="R69" i="1"/>
  <c r="Q70" i="1"/>
  <c r="Q57" i="1"/>
  <c r="Q53" i="1"/>
  <c r="R53" i="1"/>
  <c r="Q51" i="1"/>
  <c r="R51" i="1"/>
  <c r="Q49" i="1"/>
  <c r="Q46" i="1"/>
  <c r="Q47" i="1"/>
  <c r="Q36" i="1"/>
  <c r="Q31" i="1"/>
  <c r="Q28" i="1"/>
  <c r="Q26" i="1"/>
  <c r="Q27" i="1"/>
  <c r="Q25" i="1"/>
  <c r="H141" i="1"/>
  <c r="H150" i="1"/>
  <c r="M150" i="1"/>
  <c r="H149" i="1"/>
  <c r="M149" i="1"/>
  <c r="H148" i="1"/>
  <c r="M148" i="1"/>
  <c r="H147" i="1"/>
  <c r="M147" i="1"/>
  <c r="H146" i="1"/>
  <c r="M146" i="1"/>
  <c r="H145" i="1"/>
  <c r="M145" i="1"/>
  <c r="H144" i="1"/>
  <c r="M144" i="1"/>
  <c r="H143" i="1"/>
  <c r="M143" i="1"/>
  <c r="H142" i="1"/>
  <c r="M142" i="1"/>
  <c r="M157" i="1"/>
  <c r="M141" i="1"/>
  <c r="E157" i="1"/>
  <c r="P161" i="1"/>
  <c r="M161" i="1"/>
  <c r="H161" i="1"/>
  <c r="E161" i="1"/>
  <c r="U159" i="1"/>
  <c r="U161" i="1"/>
  <c r="U153" i="1"/>
  <c r="R159" i="1"/>
  <c r="R161" i="1"/>
  <c r="U151" i="1"/>
  <c r="U152" i="1"/>
  <c r="U154" i="1"/>
  <c r="R152" i="1"/>
  <c r="R153" i="1"/>
  <c r="R154" i="1"/>
  <c r="R151" i="1"/>
  <c r="U150" i="1"/>
  <c r="R150" i="1"/>
  <c r="U149" i="1"/>
  <c r="R149" i="1"/>
  <c r="U148" i="1"/>
  <c r="R148" i="1"/>
  <c r="U147" i="1"/>
  <c r="R147" i="1"/>
  <c r="U146" i="1"/>
  <c r="R146" i="1"/>
  <c r="U145" i="1"/>
  <c r="R145" i="1"/>
  <c r="U144" i="1"/>
  <c r="R144" i="1"/>
  <c r="U143" i="1"/>
  <c r="R143" i="1"/>
  <c r="U142" i="1"/>
  <c r="R142" i="1"/>
  <c r="R155" i="1"/>
  <c r="R157" i="1"/>
  <c r="R177" i="1"/>
  <c r="H94" i="1"/>
  <c r="P94" i="1"/>
  <c r="W126" i="1"/>
  <c r="X126" i="1"/>
  <c r="H15" i="1"/>
  <c r="P15" i="1"/>
  <c r="H98" i="1"/>
  <c r="M98" i="1"/>
  <c r="Y173" i="1"/>
  <c r="Y181" i="1"/>
  <c r="W94" i="1"/>
  <c r="X94" i="1"/>
  <c r="O173" i="1"/>
  <c r="U176" i="1"/>
  <c r="O33" i="1"/>
  <c r="U16" i="1"/>
  <c r="R17" i="1"/>
  <c r="O18" i="1"/>
  <c r="O8" i="1"/>
  <c r="U6" i="1"/>
  <c r="U133" i="1"/>
  <c r="W6" i="1"/>
  <c r="X6" i="1"/>
  <c r="H7" i="1"/>
  <c r="M7" i="1"/>
  <c r="O7" i="1"/>
  <c r="R7" i="1"/>
  <c r="U7" i="1"/>
  <c r="W7" i="1"/>
  <c r="X7" i="1"/>
  <c r="H9" i="1"/>
  <c r="P9" i="1"/>
  <c r="O9" i="1"/>
  <c r="R9" i="1"/>
  <c r="U9" i="1"/>
  <c r="W9" i="1"/>
  <c r="X9" i="1"/>
  <c r="X133" i="1"/>
  <c r="H10" i="1"/>
  <c r="M10" i="1"/>
  <c r="O10" i="1"/>
  <c r="R10" i="1"/>
  <c r="U10" i="1"/>
  <c r="W10" i="1"/>
  <c r="X10" i="1"/>
  <c r="X14" i="1"/>
  <c r="X24" i="1"/>
  <c r="X30" i="1"/>
  <c r="X35" i="1"/>
  <c r="X48" i="1"/>
  <c r="X52" i="1"/>
  <c r="X114" i="1"/>
  <c r="X122" i="1"/>
  <c r="H11" i="1"/>
  <c r="M11" i="1"/>
  <c r="O11" i="1"/>
  <c r="R11" i="1"/>
  <c r="U11" i="1"/>
  <c r="W11" i="1"/>
  <c r="X11" i="1"/>
  <c r="H12" i="1"/>
  <c r="P12" i="1"/>
  <c r="O12" i="1"/>
  <c r="R12" i="1"/>
  <c r="U12" i="1"/>
  <c r="W12" i="1"/>
  <c r="X12" i="1"/>
  <c r="U174" i="1"/>
  <c r="U177" i="1"/>
  <c r="U178" i="1"/>
  <c r="U179" i="1"/>
  <c r="U181" i="1"/>
  <c r="R174" i="1"/>
  <c r="R175" i="1"/>
  <c r="R173" i="1"/>
  <c r="R178" i="1"/>
  <c r="R179" i="1"/>
  <c r="R181" i="1"/>
  <c r="H27" i="1"/>
  <c r="M27" i="1"/>
  <c r="H28" i="1"/>
  <c r="M28" i="1"/>
  <c r="H29" i="1"/>
  <c r="M29" i="1"/>
  <c r="H26" i="1"/>
  <c r="M26" i="1"/>
  <c r="Y174" i="1"/>
  <c r="Y175" i="1"/>
  <c r="Y176" i="1"/>
  <c r="Y177" i="1"/>
  <c r="Y178" i="1"/>
  <c r="Y179" i="1"/>
  <c r="Y180" i="1"/>
  <c r="Y172" i="1"/>
  <c r="W111" i="1"/>
  <c r="X111" i="1"/>
  <c r="W112" i="1"/>
  <c r="X112" i="1"/>
  <c r="W110" i="1"/>
  <c r="X110" i="1"/>
  <c r="W109" i="1"/>
  <c r="X109" i="1"/>
  <c r="W26" i="1"/>
  <c r="X26" i="1"/>
  <c r="W27" i="1"/>
  <c r="X27" i="1"/>
  <c r="W28" i="1"/>
  <c r="X28" i="1"/>
  <c r="W29" i="1"/>
  <c r="X29" i="1"/>
  <c r="W31" i="1"/>
  <c r="X31" i="1"/>
  <c r="W32" i="1"/>
  <c r="W25" i="1"/>
  <c r="X25" i="1"/>
  <c r="W23" i="1"/>
  <c r="X23" i="1"/>
  <c r="W22" i="1"/>
  <c r="X22" i="1"/>
  <c r="W21" i="1"/>
  <c r="X21" i="1"/>
  <c r="W20" i="1"/>
  <c r="X20" i="1"/>
  <c r="W19" i="1"/>
  <c r="X19" i="1"/>
  <c r="W18" i="1"/>
  <c r="X18" i="1"/>
  <c r="W17" i="1"/>
  <c r="X17" i="1"/>
  <c r="W8" i="1"/>
  <c r="X8" i="1"/>
  <c r="W13" i="1"/>
  <c r="X13" i="1"/>
  <c r="W5" i="1"/>
  <c r="X5" i="1"/>
  <c r="W95" i="1"/>
  <c r="X95" i="1"/>
  <c r="W96" i="1"/>
  <c r="X96" i="1"/>
  <c r="W97" i="1"/>
  <c r="X97" i="1"/>
  <c r="W98" i="1"/>
  <c r="X98" i="1"/>
  <c r="W99" i="1"/>
  <c r="X99" i="1"/>
  <c r="W100" i="1"/>
  <c r="X100" i="1"/>
  <c r="W101" i="1"/>
  <c r="X101" i="1"/>
  <c r="W102" i="1"/>
  <c r="X102" i="1"/>
  <c r="W103" i="1"/>
  <c r="X103" i="1"/>
  <c r="W104" i="1"/>
  <c r="W105" i="1"/>
  <c r="X105" i="1"/>
  <c r="W106" i="1"/>
  <c r="X106" i="1"/>
  <c r="W107" i="1"/>
  <c r="X107" i="1"/>
  <c r="W108" i="1"/>
  <c r="X108" i="1"/>
  <c r="W113" i="1"/>
  <c r="X113" i="1"/>
  <c r="W115" i="1"/>
  <c r="X115" i="1"/>
  <c r="W116" i="1"/>
  <c r="X116" i="1"/>
  <c r="W117" i="1"/>
  <c r="X117" i="1"/>
  <c r="W118" i="1"/>
  <c r="X118" i="1"/>
  <c r="W119" i="1"/>
  <c r="X119" i="1"/>
  <c r="W120" i="1"/>
  <c r="X120" i="1"/>
  <c r="W121" i="1"/>
  <c r="X121" i="1"/>
  <c r="W123" i="1"/>
  <c r="X123" i="1"/>
  <c r="W124" i="1"/>
  <c r="X124" i="1"/>
  <c r="W125" i="1"/>
  <c r="X125" i="1"/>
  <c r="W127" i="1"/>
  <c r="X127" i="1"/>
  <c r="W128" i="1"/>
  <c r="X128" i="1"/>
  <c r="W129" i="1"/>
  <c r="X129" i="1"/>
  <c r="W130" i="1"/>
  <c r="X130" i="1"/>
  <c r="W131" i="1"/>
  <c r="X131" i="1"/>
  <c r="W33" i="1"/>
  <c r="X33" i="1"/>
  <c r="W34" i="1"/>
  <c r="X34" i="1"/>
  <c r="W36" i="1"/>
  <c r="X36" i="1"/>
  <c r="W37" i="1"/>
  <c r="X37" i="1"/>
  <c r="W38" i="1"/>
  <c r="X38" i="1"/>
  <c r="W39" i="1"/>
  <c r="X39" i="1"/>
  <c r="W40" i="1"/>
  <c r="X40" i="1"/>
  <c r="W41" i="1"/>
  <c r="X41" i="1"/>
  <c r="Y41" i="1"/>
  <c r="W42" i="1"/>
  <c r="X42" i="1"/>
  <c r="W43" i="1"/>
  <c r="X43" i="1"/>
  <c r="W44" i="1"/>
  <c r="X44" i="1"/>
  <c r="Y44" i="1"/>
  <c r="W45" i="1"/>
  <c r="X45" i="1"/>
  <c r="W46" i="1"/>
  <c r="X46" i="1"/>
  <c r="Y46" i="1"/>
  <c r="W47" i="1"/>
  <c r="X47" i="1"/>
  <c r="W49" i="1"/>
  <c r="X49" i="1"/>
  <c r="W50" i="1"/>
  <c r="X50" i="1"/>
  <c r="W51" i="1"/>
  <c r="X51" i="1"/>
  <c r="W53" i="1"/>
  <c r="X53" i="1"/>
  <c r="W54" i="1"/>
  <c r="X54" i="1"/>
  <c r="W55" i="1"/>
  <c r="X55" i="1"/>
  <c r="W56" i="1"/>
  <c r="X56" i="1"/>
  <c r="W57" i="1"/>
  <c r="X57" i="1"/>
  <c r="W58" i="1"/>
  <c r="X58" i="1"/>
  <c r="W59" i="1"/>
  <c r="X59" i="1"/>
  <c r="W60" i="1"/>
  <c r="X60" i="1"/>
  <c r="W61" i="1"/>
  <c r="X61" i="1"/>
  <c r="W62" i="1"/>
  <c r="X62" i="1"/>
  <c r="W63" i="1"/>
  <c r="X63" i="1"/>
  <c r="W64" i="1"/>
  <c r="X64" i="1"/>
  <c r="W65" i="1"/>
  <c r="X65" i="1"/>
  <c r="W66" i="1"/>
  <c r="X66" i="1"/>
  <c r="W67" i="1"/>
  <c r="X67" i="1"/>
  <c r="W68" i="1"/>
  <c r="X68" i="1"/>
  <c r="W69" i="1"/>
  <c r="X69" i="1"/>
  <c r="W70" i="1"/>
  <c r="X70" i="1"/>
  <c r="W71" i="1"/>
  <c r="X71" i="1"/>
  <c r="W72" i="1"/>
  <c r="X72" i="1"/>
  <c r="W73" i="1"/>
  <c r="X73" i="1"/>
  <c r="W74" i="1"/>
  <c r="X74" i="1"/>
  <c r="W75" i="1"/>
  <c r="X75" i="1"/>
  <c r="W76" i="1"/>
  <c r="X76" i="1"/>
  <c r="W77" i="1"/>
  <c r="X77" i="1"/>
  <c r="W78" i="1"/>
  <c r="X78" i="1"/>
  <c r="W79" i="1"/>
  <c r="X79" i="1"/>
  <c r="W80" i="1"/>
  <c r="X80" i="1"/>
  <c r="W81" i="1"/>
  <c r="X81" i="1"/>
  <c r="W82" i="1"/>
  <c r="X82" i="1"/>
  <c r="W83" i="1"/>
  <c r="X83" i="1"/>
  <c r="W84" i="1"/>
  <c r="X84" i="1"/>
  <c r="W85" i="1"/>
  <c r="X85" i="1"/>
  <c r="W86" i="1"/>
  <c r="X86" i="1"/>
  <c r="W87" i="1"/>
  <c r="X87" i="1"/>
  <c r="W88" i="1"/>
  <c r="X88" i="1"/>
  <c r="W89" i="1"/>
  <c r="X89" i="1"/>
  <c r="W90" i="1"/>
  <c r="X90" i="1"/>
  <c r="W91" i="1"/>
  <c r="X91" i="1"/>
  <c r="W92" i="1"/>
  <c r="X92" i="1"/>
  <c r="W93" i="1"/>
  <c r="X93" i="1"/>
  <c r="W15" i="1"/>
  <c r="X15" i="1"/>
  <c r="W16" i="1"/>
  <c r="X16" i="1"/>
  <c r="U128" i="1"/>
  <c r="R128" i="1"/>
  <c r="O128" i="1"/>
  <c r="H128" i="1"/>
  <c r="M128" i="1"/>
  <c r="U123" i="1"/>
  <c r="R123" i="1"/>
  <c r="O123" i="1"/>
  <c r="H123" i="1"/>
  <c r="U49" i="1"/>
  <c r="R49" i="1"/>
  <c r="O49" i="1"/>
  <c r="H49" i="1"/>
  <c r="M49" i="1"/>
  <c r="R107" i="1"/>
  <c r="H81" i="1"/>
  <c r="P81" i="1"/>
  <c r="U81" i="1"/>
  <c r="R81" i="1"/>
  <c r="O81" i="1"/>
  <c r="U212" i="1"/>
  <c r="R212" i="1"/>
  <c r="H212" i="1"/>
  <c r="U211" i="1"/>
  <c r="R211" i="1"/>
  <c r="H211" i="1"/>
  <c r="P211" i="1"/>
  <c r="U210" i="1"/>
  <c r="R210" i="1"/>
  <c r="H210" i="1"/>
  <c r="M210" i="1"/>
  <c r="U209" i="1"/>
  <c r="U213" i="1"/>
  <c r="R209" i="1"/>
  <c r="H209" i="1"/>
  <c r="H213" i="1"/>
  <c r="U208" i="1"/>
  <c r="R208" i="1"/>
  <c r="H208" i="1"/>
  <c r="M208" i="1"/>
  <c r="U207" i="1"/>
  <c r="R207" i="1"/>
  <c r="H207" i="1"/>
  <c r="U206" i="1"/>
  <c r="R206" i="1"/>
  <c r="H206" i="1"/>
  <c r="H197" i="1"/>
  <c r="P197" i="1"/>
  <c r="H198" i="1"/>
  <c r="M198" i="1"/>
  <c r="H199" i="1"/>
  <c r="P199" i="1"/>
  <c r="H200" i="1"/>
  <c r="M200" i="1"/>
  <c r="H201" i="1"/>
  <c r="M201" i="1"/>
  <c r="H202" i="1"/>
  <c r="H203" i="1"/>
  <c r="H204" i="1"/>
  <c r="P204" i="1"/>
  <c r="H205" i="1"/>
  <c r="P205" i="1"/>
  <c r="U205" i="1"/>
  <c r="R205" i="1"/>
  <c r="U204" i="1"/>
  <c r="R204" i="1"/>
  <c r="U203" i="1"/>
  <c r="R203" i="1"/>
  <c r="U202" i="1"/>
  <c r="R202" i="1"/>
  <c r="U201" i="1"/>
  <c r="R201" i="1"/>
  <c r="U200" i="1"/>
  <c r="R200" i="1"/>
  <c r="U199" i="1"/>
  <c r="R199" i="1"/>
  <c r="U198" i="1"/>
  <c r="R198" i="1"/>
  <c r="U197" i="1"/>
  <c r="R197" i="1"/>
  <c r="O98" i="1"/>
  <c r="E213" i="1"/>
  <c r="E194" i="1"/>
  <c r="U193" i="1"/>
  <c r="R193" i="1"/>
  <c r="H193" i="1"/>
  <c r="M193" i="1"/>
  <c r="R192" i="1"/>
  <c r="U192" i="1"/>
  <c r="H192" i="1"/>
  <c r="P192" i="1"/>
  <c r="U191" i="1"/>
  <c r="R191" i="1"/>
  <c r="H191" i="1"/>
  <c r="R189" i="1"/>
  <c r="U189" i="1"/>
  <c r="H189" i="1"/>
  <c r="U188" i="1"/>
  <c r="R188" i="1"/>
  <c r="H188" i="1"/>
  <c r="M188" i="1"/>
  <c r="H190" i="1"/>
  <c r="M190" i="1"/>
  <c r="U190" i="1"/>
  <c r="R190" i="1"/>
  <c r="R54" i="1"/>
  <c r="U29" i="1"/>
  <c r="R29" i="1"/>
  <c r="O29" i="1"/>
  <c r="U23" i="1"/>
  <c r="R23" i="1"/>
  <c r="O23" i="1"/>
  <c r="H23" i="1"/>
  <c r="P23" i="1"/>
  <c r="O28" i="1"/>
  <c r="R28" i="1"/>
  <c r="U28" i="1"/>
  <c r="H31" i="1"/>
  <c r="M31" i="1"/>
  <c r="R31" i="1"/>
  <c r="U31" i="1"/>
  <c r="H33" i="1"/>
  <c r="M33" i="1"/>
  <c r="P33" i="1"/>
  <c r="H34" i="1"/>
  <c r="M34" i="1"/>
  <c r="O34" i="1"/>
  <c r="R34" i="1"/>
  <c r="U34" i="1"/>
  <c r="H36" i="1"/>
  <c r="R36" i="1"/>
  <c r="U36" i="1"/>
  <c r="H37" i="1"/>
  <c r="P37" i="1"/>
  <c r="O37" i="1"/>
  <c r="R37" i="1"/>
  <c r="U37" i="1"/>
  <c r="H39" i="1"/>
  <c r="P39" i="1"/>
  <c r="O39" i="1"/>
  <c r="R39" i="1"/>
  <c r="U39" i="1"/>
  <c r="H40" i="1"/>
  <c r="P40" i="1"/>
  <c r="O40" i="1"/>
  <c r="R40" i="1"/>
  <c r="U40" i="1"/>
  <c r="H41" i="1"/>
  <c r="P41" i="1"/>
  <c r="O41" i="1"/>
  <c r="R41" i="1"/>
  <c r="U41" i="1"/>
  <c r="AA41" i="1"/>
  <c r="H42" i="1"/>
  <c r="P42" i="1"/>
  <c r="M42" i="1"/>
  <c r="O42" i="1"/>
  <c r="R42" i="1"/>
  <c r="U42" i="1"/>
  <c r="H43" i="1"/>
  <c r="M43" i="1"/>
  <c r="O43" i="1"/>
  <c r="R43" i="1"/>
  <c r="U43" i="1"/>
  <c r="H44" i="1"/>
  <c r="M44" i="1"/>
  <c r="O44" i="1"/>
  <c r="R44" i="1"/>
  <c r="U44" i="1"/>
  <c r="AA44" i="1"/>
  <c r="AA46" i="1"/>
  <c r="AA63" i="1"/>
  <c r="AA68" i="1"/>
  <c r="H45" i="1"/>
  <c r="O45" i="1"/>
  <c r="R45" i="1"/>
  <c r="U45" i="1"/>
  <c r="H46" i="1"/>
  <c r="P46" i="1"/>
  <c r="O46" i="1"/>
  <c r="R46" i="1"/>
  <c r="U46" i="1"/>
  <c r="H47" i="1"/>
  <c r="M47" i="1"/>
  <c r="O47" i="1"/>
  <c r="R47" i="1"/>
  <c r="U47" i="1"/>
  <c r="H50" i="1"/>
  <c r="P50" i="1"/>
  <c r="O50" i="1"/>
  <c r="R50" i="1"/>
  <c r="U50" i="1"/>
  <c r="H51" i="1"/>
  <c r="P51" i="1"/>
  <c r="O51" i="1"/>
  <c r="U51" i="1"/>
  <c r="H53" i="1"/>
  <c r="M53" i="1"/>
  <c r="O53" i="1"/>
  <c r="U53" i="1"/>
  <c r="H55" i="1"/>
  <c r="P55" i="1"/>
  <c r="O55" i="1"/>
  <c r="R55" i="1"/>
  <c r="U55" i="1"/>
  <c r="H57" i="1"/>
  <c r="M57" i="1"/>
  <c r="R57" i="1"/>
  <c r="U57" i="1"/>
  <c r="H59" i="1"/>
  <c r="M59" i="1"/>
  <c r="O59" i="1"/>
  <c r="R59" i="1"/>
  <c r="U59" i="1"/>
  <c r="R141" i="1"/>
  <c r="U94" i="1"/>
  <c r="R94" i="1"/>
  <c r="O94" i="1"/>
  <c r="M94" i="1"/>
  <c r="H181" i="1"/>
  <c r="P181" i="1"/>
  <c r="O181" i="1"/>
  <c r="H126" i="1"/>
  <c r="H124" i="1"/>
  <c r="M124" i="1"/>
  <c r="H125" i="1"/>
  <c r="M125" i="1"/>
  <c r="R72" i="1"/>
  <c r="R106" i="1"/>
  <c r="R5" i="1"/>
  <c r="R133" i="1"/>
  <c r="R135" i="1"/>
  <c r="R26" i="1"/>
  <c r="R21" i="1"/>
  <c r="R22" i="1"/>
  <c r="R25" i="1"/>
  <c r="R27" i="1"/>
  <c r="R58" i="1"/>
  <c r="R60" i="1"/>
  <c r="R62" i="1"/>
  <c r="R63" i="1"/>
  <c r="R64" i="1"/>
  <c r="R66" i="1"/>
  <c r="R67" i="1"/>
  <c r="R68" i="1"/>
  <c r="R70" i="1"/>
  <c r="R73" i="1"/>
  <c r="R74" i="1"/>
  <c r="R75" i="1"/>
  <c r="R76" i="1"/>
  <c r="R77" i="1"/>
  <c r="R78" i="1"/>
  <c r="R79" i="1"/>
  <c r="R82" i="1"/>
  <c r="R83" i="1"/>
  <c r="R86" i="1"/>
  <c r="R87" i="1"/>
  <c r="R90" i="1"/>
  <c r="R91" i="1"/>
  <c r="R92" i="1"/>
  <c r="R95" i="1"/>
  <c r="R96" i="1"/>
  <c r="R99" i="1"/>
  <c r="R102" i="1"/>
  <c r="R103" i="1"/>
  <c r="R104" i="1"/>
  <c r="R109" i="1"/>
  <c r="R112" i="1"/>
  <c r="R113" i="1"/>
  <c r="R115" i="1"/>
  <c r="R116" i="1"/>
  <c r="R117" i="1"/>
  <c r="R119" i="1"/>
  <c r="R120" i="1"/>
  <c r="R124" i="1"/>
  <c r="R125" i="1"/>
  <c r="R126" i="1"/>
  <c r="R129" i="1"/>
  <c r="R130" i="1"/>
  <c r="R131" i="1"/>
  <c r="R13" i="1"/>
  <c r="R8" i="1"/>
  <c r="R15" i="1"/>
  <c r="R19" i="1"/>
  <c r="R20" i="1"/>
  <c r="U5" i="1"/>
  <c r="U13" i="1"/>
  <c r="U15" i="1"/>
  <c r="U19" i="1"/>
  <c r="U20" i="1"/>
  <c r="U21" i="1"/>
  <c r="U22" i="1"/>
  <c r="U25" i="1"/>
  <c r="U26" i="1"/>
  <c r="U27" i="1"/>
  <c r="U58" i="1"/>
  <c r="U60" i="1"/>
  <c r="U61" i="1"/>
  <c r="U62" i="1"/>
  <c r="U63" i="1"/>
  <c r="U64" i="1"/>
  <c r="U65" i="1"/>
  <c r="U66" i="1"/>
  <c r="U67" i="1"/>
  <c r="U68" i="1"/>
  <c r="U69" i="1"/>
  <c r="U70" i="1"/>
  <c r="U110" i="1"/>
  <c r="U72" i="1"/>
  <c r="U73" i="1"/>
  <c r="U74" i="1"/>
  <c r="U75" i="1"/>
  <c r="U76" i="1"/>
  <c r="U77" i="1"/>
  <c r="U78" i="1"/>
  <c r="U79" i="1"/>
  <c r="U82" i="1"/>
  <c r="U83" i="1"/>
  <c r="U84" i="1"/>
  <c r="U85" i="1"/>
  <c r="U86" i="1"/>
  <c r="U87" i="1"/>
  <c r="U88" i="1"/>
  <c r="U90" i="1"/>
  <c r="U91" i="1"/>
  <c r="U92" i="1"/>
  <c r="U95" i="1"/>
  <c r="U96" i="1"/>
  <c r="U99" i="1"/>
  <c r="U100" i="1"/>
  <c r="U102" i="1"/>
  <c r="U103" i="1"/>
  <c r="U105" i="1"/>
  <c r="U106" i="1"/>
  <c r="U107" i="1"/>
  <c r="U109" i="1"/>
  <c r="U112" i="1"/>
  <c r="U113" i="1"/>
  <c r="U115" i="1"/>
  <c r="U116" i="1"/>
  <c r="U117" i="1"/>
  <c r="U119" i="1"/>
  <c r="U120" i="1"/>
  <c r="U121" i="1"/>
  <c r="U124" i="1"/>
  <c r="U125" i="1"/>
  <c r="U126" i="1"/>
  <c r="U129" i="1"/>
  <c r="U130" i="1"/>
  <c r="U131" i="1"/>
  <c r="U141" i="1"/>
  <c r="U155" i="1"/>
  <c r="H8" i="1"/>
  <c r="P8" i="1"/>
  <c r="H13" i="1"/>
  <c r="P13" i="1"/>
  <c r="H19" i="1"/>
  <c r="P19" i="1"/>
  <c r="H20" i="1"/>
  <c r="M20" i="1"/>
  <c r="H21" i="1"/>
  <c r="M21" i="1"/>
  <c r="H22" i="1"/>
  <c r="H25" i="1"/>
  <c r="P25" i="1"/>
  <c r="H58" i="1"/>
  <c r="H60" i="1"/>
  <c r="H61" i="1"/>
  <c r="P61" i="1"/>
  <c r="H62" i="1"/>
  <c r="P62" i="1"/>
  <c r="H63" i="1"/>
  <c r="H64" i="1"/>
  <c r="M64" i="1"/>
  <c r="H65" i="1"/>
  <c r="P65" i="1"/>
  <c r="H66" i="1"/>
  <c r="M66" i="1"/>
  <c r="H67" i="1"/>
  <c r="H68" i="1"/>
  <c r="P68" i="1"/>
  <c r="H69" i="1"/>
  <c r="P69" i="1"/>
  <c r="H70" i="1"/>
  <c r="H72" i="1"/>
  <c r="H73" i="1"/>
  <c r="M73" i="1"/>
  <c r="H74" i="1"/>
  <c r="H5" i="1"/>
  <c r="M5" i="1"/>
  <c r="H75" i="1"/>
  <c r="H76" i="1"/>
  <c r="M76" i="1"/>
  <c r="H77" i="1"/>
  <c r="P77" i="1"/>
  <c r="H78" i="1"/>
  <c r="P78" i="1"/>
  <c r="H79" i="1"/>
  <c r="H82" i="1"/>
  <c r="P82" i="1"/>
  <c r="H83" i="1"/>
  <c r="H84" i="1"/>
  <c r="P84" i="1"/>
  <c r="H85" i="1"/>
  <c r="H86" i="1"/>
  <c r="P86" i="1"/>
  <c r="H87" i="1"/>
  <c r="P87" i="1"/>
  <c r="H88" i="1"/>
  <c r="M88" i="1"/>
  <c r="H90" i="1"/>
  <c r="M90" i="1"/>
  <c r="H91" i="1"/>
  <c r="P91" i="1"/>
  <c r="M91" i="1"/>
  <c r="H92" i="1"/>
  <c r="P92" i="1"/>
  <c r="H95" i="1"/>
  <c r="P95" i="1"/>
  <c r="H96" i="1"/>
  <c r="M96" i="1"/>
  <c r="H99" i="1"/>
  <c r="P99" i="1"/>
  <c r="H100" i="1"/>
  <c r="P100" i="1"/>
  <c r="H102" i="1"/>
  <c r="P102" i="1"/>
  <c r="H103" i="1"/>
  <c r="H105" i="1"/>
  <c r="M105" i="1"/>
  <c r="H106" i="1"/>
  <c r="M106" i="1"/>
  <c r="H107" i="1"/>
  <c r="M107" i="1"/>
  <c r="H109" i="1"/>
  <c r="H110" i="1"/>
  <c r="P110" i="1"/>
  <c r="H112" i="1"/>
  <c r="H113" i="1"/>
  <c r="P113" i="1"/>
  <c r="H115" i="1"/>
  <c r="H116" i="1"/>
  <c r="M116" i="1"/>
  <c r="H117" i="1"/>
  <c r="H119" i="1"/>
  <c r="P119" i="1"/>
  <c r="H120" i="1"/>
  <c r="H121" i="1"/>
  <c r="M121" i="1"/>
  <c r="H129" i="1"/>
  <c r="M129" i="1"/>
  <c r="H130" i="1"/>
  <c r="H131" i="1"/>
  <c r="P131" i="1"/>
  <c r="O22" i="1"/>
  <c r="O26" i="1"/>
  <c r="O21" i="1"/>
  <c r="O27" i="1"/>
  <c r="O58" i="1"/>
  <c r="O60" i="1"/>
  <c r="O61" i="1"/>
  <c r="O62" i="1"/>
  <c r="O63" i="1"/>
  <c r="O64" i="1"/>
  <c r="O65" i="1"/>
  <c r="O66" i="1"/>
  <c r="O67" i="1"/>
  <c r="O68" i="1"/>
  <c r="O69" i="1"/>
  <c r="O70" i="1"/>
  <c r="O72" i="1"/>
  <c r="O73" i="1"/>
  <c r="O74" i="1"/>
  <c r="O75" i="1"/>
  <c r="O76" i="1"/>
  <c r="O77" i="1"/>
  <c r="O78" i="1"/>
  <c r="O79" i="1"/>
  <c r="O82" i="1"/>
  <c r="O83" i="1"/>
  <c r="O84" i="1"/>
  <c r="O85" i="1"/>
  <c r="O86" i="1"/>
  <c r="O87" i="1"/>
  <c r="O88" i="1"/>
  <c r="O90" i="1"/>
  <c r="O91" i="1"/>
  <c r="O92" i="1"/>
  <c r="O95" i="1"/>
  <c r="O96" i="1"/>
  <c r="O99" i="1"/>
  <c r="O100" i="1"/>
  <c r="O103" i="1"/>
  <c r="O105" i="1"/>
  <c r="O106" i="1"/>
  <c r="O107" i="1"/>
  <c r="O110" i="1"/>
  <c r="O112" i="1"/>
  <c r="O113" i="1"/>
  <c r="O115" i="1"/>
  <c r="O116" i="1"/>
  <c r="O117" i="1"/>
  <c r="O119" i="1"/>
  <c r="O120" i="1"/>
  <c r="O121" i="1"/>
  <c r="O124" i="1"/>
  <c r="O125" i="1"/>
  <c r="O126" i="1"/>
  <c r="O129" i="1"/>
  <c r="O130" i="1"/>
  <c r="O131" i="1"/>
  <c r="O13" i="1"/>
  <c r="O17" i="1"/>
  <c r="O19" i="1"/>
  <c r="O20" i="1"/>
  <c r="O174" i="1"/>
  <c r="O178" i="1"/>
  <c r="O179" i="1"/>
  <c r="H174" i="1"/>
  <c r="M174" i="1"/>
  <c r="H175" i="1"/>
  <c r="M175" i="1"/>
  <c r="H178" i="1"/>
  <c r="M178" i="1"/>
  <c r="H179" i="1"/>
  <c r="M179" i="1"/>
  <c r="P157" i="1"/>
  <c r="M205" i="1"/>
  <c r="P201" i="1"/>
  <c r="H173" i="1"/>
  <c r="P173" i="1"/>
  <c r="M173" i="1"/>
  <c r="H16" i="1"/>
  <c r="P16" i="1"/>
  <c r="U33" i="1"/>
  <c r="R98" i="1"/>
  <c r="U8" i="1"/>
  <c r="R16" i="1"/>
  <c r="R33" i="1"/>
  <c r="U98" i="1"/>
  <c r="U173" i="1"/>
  <c r="O16" i="1"/>
  <c r="H176" i="1"/>
  <c r="P176" i="1"/>
  <c r="O180" i="1"/>
  <c r="O176" i="1"/>
  <c r="R176" i="1"/>
  <c r="U18" i="1"/>
  <c r="H18" i="1"/>
  <c r="P18" i="1"/>
  <c r="R18" i="1"/>
  <c r="H17" i="1"/>
  <c r="P17" i="1"/>
  <c r="U17" i="1"/>
  <c r="P27" i="1"/>
  <c r="O111" i="1"/>
  <c r="R111" i="1"/>
  <c r="U111" i="1"/>
  <c r="H111" i="1"/>
  <c r="M111" i="1"/>
  <c r="O54" i="1"/>
  <c r="H54" i="1"/>
  <c r="M54" i="1"/>
  <c r="U54" i="1"/>
  <c r="O38" i="1"/>
  <c r="R38" i="1"/>
  <c r="H38" i="1"/>
  <c r="P38" i="1"/>
  <c r="U38" i="1"/>
  <c r="X32" i="1"/>
  <c r="Y32" i="1"/>
  <c r="U180" i="1"/>
  <c r="R180" i="1"/>
  <c r="H180" i="1"/>
  <c r="M180" i="1"/>
  <c r="U175" i="1"/>
  <c r="O175" i="1"/>
  <c r="P193" i="1"/>
  <c r="O6" i="1"/>
  <c r="O133" i="1"/>
  <c r="P188" i="1"/>
  <c r="P121" i="1"/>
  <c r="M84" i="1"/>
  <c r="P21" i="1"/>
  <c r="U172" i="1"/>
  <c r="O172" i="1"/>
  <c r="H172" i="1"/>
  <c r="E182" i="1"/>
  <c r="E218" i="1"/>
  <c r="R6" i="1"/>
  <c r="E133" i="1"/>
  <c r="E165" i="1"/>
  <c r="H6" i="1"/>
  <c r="P6" i="1"/>
  <c r="R32" i="1"/>
  <c r="U32" i="1"/>
  <c r="H32" i="1"/>
  <c r="M32" i="1"/>
  <c r="O32" i="1"/>
  <c r="AA32" i="1"/>
  <c r="AA73" i="1"/>
  <c r="H104" i="1"/>
  <c r="M104" i="1"/>
  <c r="O104" i="1"/>
  <c r="U104" i="1"/>
  <c r="R172" i="1"/>
  <c r="P208" i="1"/>
  <c r="X104" i="1"/>
  <c r="O177" i="1"/>
  <c r="H177" i="1"/>
  <c r="M177" i="1"/>
  <c r="P31" i="1"/>
  <c r="P105" i="1"/>
  <c r="M65" i="1"/>
  <c r="M50" i="1"/>
  <c r="M78" i="1"/>
  <c r="M81" i="1"/>
  <c r="P98" i="1"/>
  <c r="M95" i="1"/>
  <c r="P198" i="1"/>
  <c r="P10" i="1"/>
  <c r="M86" i="1"/>
  <c r="M199" i="1"/>
  <c r="P107" i="1"/>
  <c r="P29" i="1"/>
  <c r="M68" i="1"/>
  <c r="M197" i="1"/>
  <c r="M119" i="1"/>
  <c r="P26" i="1"/>
  <c r="P125" i="1"/>
  <c r="M6" i="1"/>
  <c r="M41" i="1"/>
  <c r="P47" i="1"/>
  <c r="P124" i="1"/>
  <c r="M23" i="1"/>
  <c r="P179" i="1"/>
  <c r="M51" i="1"/>
  <c r="P96" i="1"/>
  <c r="P116" i="1"/>
  <c r="M211" i="1"/>
  <c r="M77" i="1"/>
  <c r="M61" i="1"/>
  <c r="M102" i="1"/>
  <c r="P64" i="1"/>
  <c r="M113" i="1"/>
  <c r="M99" i="1"/>
  <c r="R194" i="1"/>
  <c r="P190" i="1"/>
  <c r="M131" i="1"/>
  <c r="P88" i="1"/>
  <c r="P43" i="1"/>
  <c r="M100" i="1"/>
  <c r="M9" i="1"/>
  <c r="P74" i="1"/>
  <c r="M74" i="1"/>
  <c r="M38" i="1"/>
  <c r="P106" i="1"/>
  <c r="M83" i="1"/>
  <c r="P83" i="1"/>
  <c r="M123" i="1"/>
  <c r="P123" i="1"/>
  <c r="P20" i="1"/>
  <c r="M92" i="1"/>
  <c r="P128" i="1"/>
  <c r="M109" i="1"/>
  <c r="P109" i="1"/>
  <c r="P85" i="1"/>
  <c r="M85" i="1"/>
  <c r="P75" i="1"/>
  <c r="M75" i="1"/>
  <c r="M22" i="1"/>
  <c r="P22" i="1"/>
  <c r="M36" i="1"/>
  <c r="P36" i="1"/>
  <c r="M206" i="1"/>
  <c r="P206" i="1"/>
  <c r="P7" i="1"/>
  <c r="H194" i="1"/>
  <c r="P200" i="1"/>
  <c r="P172" i="1"/>
  <c r="M172" i="1"/>
  <c r="P112" i="1"/>
  <c r="M112" i="1"/>
  <c r="M45" i="1"/>
  <c r="P45" i="1"/>
  <c r="U194" i="1"/>
  <c r="M191" i="1"/>
  <c r="P191" i="1"/>
  <c r="R213" i="1"/>
  <c r="R215" i="1"/>
  <c r="M203" i="1"/>
  <c r="P203" i="1"/>
  <c r="M18" i="1"/>
  <c r="M192" i="1"/>
  <c r="M87" i="1"/>
  <c r="M46" i="1"/>
  <c r="M15" i="1"/>
  <c r="M16" i="1"/>
  <c r="M130" i="1"/>
  <c r="P130" i="1"/>
  <c r="P103" i="1"/>
  <c r="M103" i="1"/>
  <c r="P79" i="1"/>
  <c r="M79" i="1"/>
  <c r="P72" i="1"/>
  <c r="M72" i="1"/>
  <c r="M67" i="1"/>
  <c r="P67" i="1"/>
  <c r="M63" i="1"/>
  <c r="P63" i="1"/>
  <c r="M58" i="1"/>
  <c r="P58" i="1"/>
  <c r="M13" i="1"/>
  <c r="M126" i="1"/>
  <c r="P126" i="1"/>
  <c r="M189" i="1"/>
  <c r="M194" i="1"/>
  <c r="P189" i="1"/>
  <c r="P194" i="1"/>
  <c r="M204" i="1"/>
  <c r="M40" i="1"/>
  <c r="M117" i="1"/>
  <c r="P117" i="1"/>
  <c r="M55" i="1"/>
  <c r="M202" i="1"/>
  <c r="P202" i="1"/>
  <c r="P212" i="1"/>
  <c r="M212" i="1"/>
  <c r="M70" i="1"/>
  <c r="P70" i="1"/>
  <c r="P66" i="1"/>
  <c r="P209" i="1"/>
  <c r="M62" i="1"/>
  <c r="P129" i="1"/>
  <c r="P120" i="1"/>
  <c r="M120" i="1"/>
  <c r="P115" i="1"/>
  <c r="M115" i="1"/>
  <c r="M60" i="1"/>
  <c r="P60" i="1"/>
  <c r="P207" i="1"/>
  <c r="M207" i="1"/>
  <c r="P180" i="1"/>
  <c r="P210" i="1"/>
  <c r="P213" i="1"/>
  <c r="P178" i="1"/>
  <c r="O182" i="1"/>
  <c r="O218" i="1"/>
  <c r="P111" i="1"/>
  <c r="P104" i="1"/>
  <c r="M39" i="1"/>
  <c r="P32" i="1"/>
  <c r="H157" i="1"/>
  <c r="P54" i="1"/>
  <c r="V213" i="1"/>
  <c r="U215" i="1"/>
  <c r="M209" i="1"/>
  <c r="M213" i="1"/>
  <c r="M181" i="1"/>
  <c r="U182" i="1"/>
  <c r="W182" i="1"/>
  <c r="R182" i="1"/>
  <c r="R184" i="1"/>
  <c r="R218" i="1"/>
  <c r="W221" i="1"/>
  <c r="M176" i="1"/>
  <c r="M182" i="1"/>
  <c r="M218" i="1"/>
  <c r="P177" i="1"/>
  <c r="P182" i="1"/>
  <c r="P218" i="1"/>
  <c r="P175" i="1"/>
  <c r="P174" i="1"/>
  <c r="H182" i="1"/>
  <c r="H218" i="1"/>
  <c r="E223" i="1"/>
  <c r="U135" i="1"/>
  <c r="U134" i="1"/>
  <c r="Y73" i="1"/>
  <c r="P57" i="1"/>
  <c r="P44" i="1"/>
  <c r="P34" i="1"/>
  <c r="P90" i="1"/>
  <c r="M110" i="1"/>
  <c r="R165" i="1"/>
  <c r="H133" i="1"/>
  <c r="M12" i="1"/>
  <c r="M25" i="1"/>
  <c r="P59" i="1"/>
  <c r="P28" i="1"/>
  <c r="M69" i="1"/>
  <c r="P53" i="1"/>
  <c r="P76" i="1"/>
  <c r="P5" i="1"/>
  <c r="P73" i="1"/>
  <c r="M19" i="1"/>
  <c r="P11" i="1"/>
  <c r="O223" i="1"/>
  <c r="H165" i="1"/>
  <c r="M8" i="1"/>
  <c r="M133" i="1"/>
  <c r="M165" i="1"/>
  <c r="M37" i="1"/>
  <c r="M82" i="1"/>
  <c r="M17" i="1"/>
  <c r="P49" i="1"/>
  <c r="W155" i="1"/>
  <c r="U157" i="1"/>
  <c r="U165" i="1"/>
  <c r="R223" i="1"/>
  <c r="R230" i="1"/>
  <c r="U223" i="1"/>
  <c r="W223" i="1"/>
  <c r="U184" i="1"/>
  <c r="U186" i="1"/>
  <c r="U218" i="1"/>
  <c r="H223" i="1"/>
  <c r="M223" i="1"/>
  <c r="P227" i="1"/>
  <c r="U136" i="1"/>
  <c r="U137" i="1"/>
  <c r="P133" i="1"/>
  <c r="U228" i="1"/>
  <c r="X134" i="1"/>
  <c r="U139" i="1"/>
  <c r="W139" i="1"/>
  <c r="P223" i="1"/>
  <c r="P16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CJQ</author>
  </authors>
  <commentList>
    <comment ref="T13" authorId="0" shapeId="0" xr:uid="{FE562826-E412-40F9-92AD-6BB7A9829307}">
      <text>
        <r>
          <rPr>
            <b/>
            <sz val="9"/>
            <color indexed="81"/>
            <rFont val="宋体"/>
            <charset val="134"/>
          </rPr>
          <t>CJQ:</t>
        </r>
        <r>
          <rPr>
            <sz val="9"/>
            <color indexed="81"/>
            <rFont val="宋体"/>
            <charset val="134"/>
          </rPr>
          <t xml:space="preserve">
20190318报价</t>
        </r>
      </text>
    </comment>
    <comment ref="T23" authorId="0" shapeId="0" xr:uid="{D1B11190-FDD9-4650-8C02-BFE15E0EB454}">
      <text>
        <r>
          <rPr>
            <b/>
            <sz val="9"/>
            <color indexed="81"/>
            <rFont val="宋体"/>
            <charset val="134"/>
          </rPr>
          <t>CJQ:</t>
        </r>
        <r>
          <rPr>
            <sz val="9"/>
            <color indexed="81"/>
            <rFont val="宋体"/>
            <charset val="134"/>
          </rPr>
          <t xml:space="preserve">
20190318报价</t>
        </r>
      </text>
    </comment>
    <comment ref="T29" authorId="0" shapeId="0" xr:uid="{671F1CFD-95C3-4550-9371-B1DB6B634E14}">
      <text>
        <r>
          <rPr>
            <b/>
            <sz val="9"/>
            <color indexed="81"/>
            <rFont val="宋体"/>
            <charset val="134"/>
          </rPr>
          <t>CJQ:</t>
        </r>
        <r>
          <rPr>
            <sz val="9"/>
            <color indexed="81"/>
            <rFont val="宋体"/>
            <charset val="134"/>
          </rPr>
          <t xml:space="preserve">
20190318报价</t>
        </r>
      </text>
    </comment>
    <comment ref="Q134" authorId="0" shapeId="0" xr:uid="{B3ECC945-C53D-4B0C-A3A9-534AA3BDD831}">
      <text>
        <r>
          <rPr>
            <b/>
            <sz val="9"/>
            <color indexed="81"/>
            <rFont val="宋体"/>
            <charset val="134"/>
          </rPr>
          <t>CJQ:</t>
        </r>
        <r>
          <rPr>
            <sz val="9"/>
            <color indexed="81"/>
            <rFont val="宋体"/>
            <charset val="134"/>
          </rPr>
          <t xml:space="preserve">
10.17电话确认</t>
        </r>
      </text>
    </comment>
    <comment ref="T136" authorId="0" shapeId="0" xr:uid="{EF44D87A-B510-40C2-AFD0-AB58DED8F13B}">
      <text>
        <r>
          <rPr>
            <b/>
            <sz val="9"/>
            <color indexed="81"/>
            <rFont val="宋体"/>
            <charset val="134"/>
          </rPr>
          <t>CJQ:</t>
        </r>
        <r>
          <rPr>
            <sz val="9"/>
            <color indexed="81"/>
            <rFont val="宋体"/>
            <charset val="134"/>
          </rPr>
          <t xml:space="preserve">
10.17电话确认</t>
        </r>
      </text>
    </comment>
  </commentList>
</comments>
</file>

<file path=xl/sharedStrings.xml><?xml version="1.0" encoding="utf-8"?>
<sst xmlns="http://schemas.openxmlformats.org/spreadsheetml/2006/main" count="507" uniqueCount="399">
  <si>
    <t>Pcs</t>
  </si>
  <si>
    <t>2-1460.150.01</t>
  </si>
  <si>
    <t>2-1460.150.18</t>
  </si>
  <si>
    <t>2-1460.150.38</t>
  </si>
  <si>
    <t>2-1460.150.07</t>
  </si>
  <si>
    <t>2-1460.200.01</t>
  </si>
  <si>
    <t>2-1460.200.18</t>
  </si>
  <si>
    <t>2-1460.200.38</t>
  </si>
  <si>
    <t>2-1460.200.04</t>
  </si>
  <si>
    <t>2-1460.200.56</t>
  </si>
  <si>
    <t>2-1460.200.59</t>
  </si>
  <si>
    <t>2-1461.150.01</t>
  </si>
  <si>
    <t>2-1461.150.18</t>
  </si>
  <si>
    <t>2-1461.150.38</t>
  </si>
  <si>
    <t>2-1461.200.01</t>
  </si>
  <si>
    <t>2-1461.200.18</t>
  </si>
  <si>
    <t>2-1461.200.38</t>
  </si>
  <si>
    <t>2-1461.200.69</t>
  </si>
  <si>
    <t>2-1461.200.16</t>
  </si>
  <si>
    <t>2-1461.200.07</t>
  </si>
  <si>
    <t>2-1462.150.38</t>
  </si>
  <si>
    <t>2-1462.200.38</t>
  </si>
  <si>
    <t>2-1462.200.61</t>
  </si>
  <si>
    <t>2-1463.150.01</t>
  </si>
  <si>
    <t>2-1463.150.38</t>
  </si>
  <si>
    <t>2-1463.150.69</t>
  </si>
  <si>
    <t>2-1463.150.16</t>
  </si>
  <si>
    <t>2-1463.150.07</t>
  </si>
  <si>
    <t>2-1463.150.04</t>
  </si>
  <si>
    <t>2-1463.150.61</t>
  </si>
  <si>
    <t>2-1464.150.01</t>
  </si>
  <si>
    <t>2-1464.150.38</t>
  </si>
  <si>
    <t>2-1464.150.59</t>
  </si>
  <si>
    <t>2-1464.150.16</t>
  </si>
  <si>
    <t>2-1464.150.56</t>
  </si>
  <si>
    <t>2-1465.200.38</t>
  </si>
  <si>
    <t>2-1465.200.56</t>
  </si>
  <si>
    <t>2-1466.200.01</t>
  </si>
  <si>
    <t>2-1466.200.38</t>
  </si>
  <si>
    <t>2-1466.200.61</t>
  </si>
  <si>
    <t>2-1467.150.35</t>
  </si>
  <si>
    <t>2-1467.150.61</t>
  </si>
  <si>
    <t>2-1467.200.35</t>
  </si>
  <si>
    <t>2-1474.120.01</t>
  </si>
  <si>
    <t>2-1474.120.03</t>
  </si>
  <si>
    <t>2-1474.170.01</t>
  </si>
  <si>
    <t>2-1474.170.03</t>
  </si>
  <si>
    <t>2-1474.220.01</t>
  </si>
  <si>
    <t>2-1474.220.03</t>
  </si>
  <si>
    <t>2-1474.270.03</t>
  </si>
  <si>
    <t>2-1474.320.01</t>
  </si>
  <si>
    <t>2-1474.320.03</t>
  </si>
  <si>
    <t>MATT GOLD</t>
  </si>
  <si>
    <t>Kgs</t>
    <phoneticPr fontId="1" type="noConversion"/>
  </si>
  <si>
    <t>Pcs</t>
    <phoneticPr fontId="1" type="noConversion"/>
  </si>
  <si>
    <t>/Ctn</t>
    <phoneticPr fontId="1" type="noConversion"/>
  </si>
  <si>
    <t>Ctns</t>
    <phoneticPr fontId="1" type="noConversion"/>
  </si>
  <si>
    <t>L</t>
    <phoneticPr fontId="1" type="noConversion"/>
  </si>
  <si>
    <t>W</t>
    <phoneticPr fontId="1" type="noConversion"/>
  </si>
  <si>
    <t>H</t>
    <phoneticPr fontId="1" type="noConversion"/>
  </si>
  <si>
    <t>Meas</t>
    <phoneticPr fontId="1" type="noConversion"/>
  </si>
  <si>
    <t>/Plt</t>
    <phoneticPr fontId="1" type="noConversion"/>
  </si>
  <si>
    <t>W.T.</t>
    <phoneticPr fontId="1" type="noConversion"/>
  </si>
  <si>
    <t>Unit Prc</t>
    <phoneticPr fontId="1" type="noConversion"/>
  </si>
  <si>
    <t>Amount</t>
    <phoneticPr fontId="1" type="noConversion"/>
  </si>
  <si>
    <t>2-1460.150.R</t>
    <phoneticPr fontId="1" type="noConversion"/>
  </si>
  <si>
    <t>2-1460.150.16</t>
    <phoneticPr fontId="1" type="noConversion"/>
  </si>
  <si>
    <t>2-1460.150.41</t>
    <phoneticPr fontId="1" type="noConversion"/>
  </si>
  <si>
    <t>2-1460.150.35</t>
    <phoneticPr fontId="1" type="noConversion"/>
  </si>
  <si>
    <t>2-1460.150.21</t>
    <phoneticPr fontId="1" type="noConversion"/>
  </si>
  <si>
    <t>2-1460.200.R</t>
    <phoneticPr fontId="1" type="noConversion"/>
  </si>
  <si>
    <t>2-1460.250.R</t>
    <phoneticPr fontId="1" type="noConversion"/>
  </si>
  <si>
    <t>2-1460.250.01</t>
    <phoneticPr fontId="1" type="noConversion"/>
  </si>
  <si>
    <t>2-1460.250.03</t>
    <phoneticPr fontId="1" type="noConversion"/>
  </si>
  <si>
    <t>2-1460.250.38</t>
    <phoneticPr fontId="1" type="noConversion"/>
  </si>
  <si>
    <t>2-1461.150.R</t>
    <phoneticPr fontId="1" type="noConversion"/>
  </si>
  <si>
    <t>2-1461.200.R</t>
    <phoneticPr fontId="1" type="noConversion"/>
  </si>
  <si>
    <t>BURDEOS</t>
    <phoneticPr fontId="1" type="noConversion"/>
  </si>
  <si>
    <t>2-1461.200.23</t>
    <phoneticPr fontId="1" type="noConversion"/>
  </si>
  <si>
    <t>2-1461.200.14</t>
    <phoneticPr fontId="1" type="noConversion"/>
  </si>
  <si>
    <t>Lead blue/Azul plomo</t>
    <phoneticPr fontId="1" type="noConversion"/>
  </si>
  <si>
    <t>2-1461.200.108</t>
    <phoneticPr fontId="1" type="noConversion"/>
  </si>
  <si>
    <t>2-1461.200.41</t>
    <phoneticPr fontId="1" type="noConversion"/>
  </si>
  <si>
    <t>2-1461.200.35</t>
    <phoneticPr fontId="1" type="noConversion"/>
  </si>
  <si>
    <t>2-1462.150.61</t>
    <phoneticPr fontId="1" type="noConversion"/>
  </si>
  <si>
    <t>2-1463.150.R</t>
    <phoneticPr fontId="1" type="noConversion"/>
  </si>
  <si>
    <t>2-1463.150.03</t>
    <phoneticPr fontId="1" type="noConversion"/>
  </si>
  <si>
    <t>Burdeos</t>
    <phoneticPr fontId="1" type="noConversion"/>
  </si>
  <si>
    <t>2-1463.150.23</t>
    <phoneticPr fontId="1" type="noConversion"/>
  </si>
  <si>
    <t>Crema</t>
    <phoneticPr fontId="1" type="noConversion"/>
  </si>
  <si>
    <t>2-1463.150.14</t>
    <phoneticPr fontId="1" type="noConversion"/>
  </si>
  <si>
    <t>2-1463.150.108</t>
    <phoneticPr fontId="1" type="noConversion"/>
  </si>
  <si>
    <t>Brandy</t>
    <phoneticPr fontId="1" type="noConversion"/>
  </si>
  <si>
    <t>2-1463.150.41</t>
    <phoneticPr fontId="1" type="noConversion"/>
  </si>
  <si>
    <t>2-1463.150.34</t>
    <phoneticPr fontId="1" type="noConversion"/>
  </si>
  <si>
    <t>2-1464.150.07</t>
    <phoneticPr fontId="1" type="noConversion"/>
  </si>
  <si>
    <t>2-1464.150.04</t>
    <phoneticPr fontId="1" type="noConversion"/>
  </si>
  <si>
    <t>2-1464.150.61</t>
    <phoneticPr fontId="1" type="noConversion"/>
  </si>
  <si>
    <t>2-1465.200.01</t>
    <phoneticPr fontId="1" type="noConversion"/>
  </si>
  <si>
    <t>2-1465.200.16</t>
    <phoneticPr fontId="1" type="noConversion"/>
  </si>
  <si>
    <t>2-1465.200.69</t>
    <phoneticPr fontId="1" type="noConversion"/>
  </si>
  <si>
    <t>2-1465.200.04</t>
    <phoneticPr fontId="1" type="noConversion"/>
  </si>
  <si>
    <t>2-1465.200.07</t>
    <phoneticPr fontId="1" type="noConversion"/>
  </si>
  <si>
    <t>2-1467.200.61</t>
    <phoneticPr fontId="1" type="noConversion"/>
  </si>
  <si>
    <t>2-1468.150.R</t>
    <phoneticPr fontId="1" type="noConversion"/>
  </si>
  <si>
    <t>2-1468.150.38</t>
    <phoneticPr fontId="1" type="noConversion"/>
  </si>
  <si>
    <t>2-1468.150.01</t>
    <phoneticPr fontId="1" type="noConversion"/>
  </si>
  <si>
    <t>2-1468.150.03</t>
    <phoneticPr fontId="1" type="noConversion"/>
  </si>
  <si>
    <t>2-1468.150.41</t>
    <phoneticPr fontId="1" type="noConversion"/>
  </si>
  <si>
    <t>2-1468.150.35</t>
    <phoneticPr fontId="1" type="noConversion"/>
  </si>
  <si>
    <t>2-1468.200.R</t>
    <phoneticPr fontId="1" type="noConversion"/>
  </si>
  <si>
    <t>2-1468.200.38</t>
    <phoneticPr fontId="1" type="noConversion"/>
  </si>
  <si>
    <t>2-1468.200.01</t>
    <phoneticPr fontId="1" type="noConversion"/>
  </si>
  <si>
    <t>2-1468.200.41</t>
    <phoneticPr fontId="1" type="noConversion"/>
  </si>
  <si>
    <t>2-1468.200.35</t>
    <phoneticPr fontId="1" type="noConversion"/>
  </si>
  <si>
    <t>2-1471.120.17</t>
    <phoneticPr fontId="1" type="noConversion"/>
  </si>
  <si>
    <t>2-1471.120.18</t>
    <phoneticPr fontId="1" type="noConversion"/>
  </si>
  <si>
    <t>2-1471.120.38</t>
    <phoneticPr fontId="1" type="noConversion"/>
  </si>
  <si>
    <t>CML</t>
    <phoneticPr fontId="1" type="noConversion"/>
  </si>
  <si>
    <t>2-1471.150.17</t>
    <phoneticPr fontId="1" type="noConversion"/>
  </si>
  <si>
    <t>2-1471.150.18</t>
    <phoneticPr fontId="1" type="noConversion"/>
  </si>
  <si>
    <t>2-1471.150.38</t>
    <phoneticPr fontId="1" type="noConversion"/>
  </si>
  <si>
    <t>2-1472.150.17</t>
    <phoneticPr fontId="1" type="noConversion"/>
  </si>
  <si>
    <t>2-1472.150.18</t>
    <phoneticPr fontId="1" type="noConversion"/>
  </si>
  <si>
    <t>2-1472.150.38</t>
    <phoneticPr fontId="1" type="noConversion"/>
  </si>
  <si>
    <t>2-1472.200.17</t>
    <phoneticPr fontId="1" type="noConversion"/>
  </si>
  <si>
    <t>2-1472.200.18</t>
    <phoneticPr fontId="1" type="noConversion"/>
  </si>
  <si>
    <t>2-1472.200.38</t>
    <phoneticPr fontId="1" type="noConversion"/>
  </si>
  <si>
    <t>mould</t>
    <phoneticPr fontId="1" type="noConversion"/>
  </si>
  <si>
    <t>2-1467.150.R</t>
    <phoneticPr fontId="1" type="noConversion"/>
  </si>
  <si>
    <t>2-1460.200.21</t>
    <phoneticPr fontId="1" type="noConversion"/>
  </si>
  <si>
    <t>2-1460.250.21</t>
    <phoneticPr fontId="1" type="noConversion"/>
  </si>
  <si>
    <t>2-1462.200.R</t>
    <phoneticPr fontId="1" type="noConversion"/>
  </si>
  <si>
    <t>5-1001.21</t>
  </si>
  <si>
    <t>5-1002.21</t>
  </si>
  <si>
    <t>5-1001.18</t>
    <phoneticPr fontId="1" type="noConversion"/>
  </si>
  <si>
    <t>5-1001.17P</t>
    <phoneticPr fontId="1" type="noConversion"/>
  </si>
  <si>
    <t>5-1002.18</t>
    <phoneticPr fontId="1" type="noConversion"/>
  </si>
  <si>
    <t>5-1002.17</t>
    <phoneticPr fontId="1" type="noConversion"/>
  </si>
  <si>
    <t>5-1490.75.01</t>
  </si>
  <si>
    <t>5-1490.100.01</t>
  </si>
  <si>
    <t>5-1490.175.01</t>
  </si>
  <si>
    <t>5-1490.175.02</t>
  </si>
  <si>
    <t>5-1490.200.02</t>
  </si>
  <si>
    <t>2-1467.200.R</t>
    <phoneticPr fontId="1" type="noConversion"/>
  </si>
  <si>
    <t>000460150002102</t>
    <phoneticPr fontId="1" type="noConversion"/>
  </si>
  <si>
    <t>000460150000102</t>
    <phoneticPr fontId="1" type="noConversion"/>
  </si>
  <si>
    <t>000460150003802</t>
    <phoneticPr fontId="1" type="noConversion"/>
  </si>
  <si>
    <t>000460200000102</t>
    <phoneticPr fontId="1" type="noConversion"/>
  </si>
  <si>
    <t>000460200002102</t>
    <phoneticPr fontId="1" type="noConversion"/>
  </si>
  <si>
    <t>000460200003802</t>
    <phoneticPr fontId="1" type="noConversion"/>
  </si>
  <si>
    <t>000460250000102</t>
    <phoneticPr fontId="1" type="noConversion"/>
  </si>
  <si>
    <t>000460250002102</t>
    <phoneticPr fontId="1" type="noConversion"/>
  </si>
  <si>
    <t>000460250003802</t>
    <phoneticPr fontId="1" type="noConversion"/>
  </si>
  <si>
    <t>000461150000102</t>
    <phoneticPr fontId="1" type="noConversion"/>
  </si>
  <si>
    <t>000461150001802</t>
    <phoneticPr fontId="1" type="noConversion"/>
  </si>
  <si>
    <t>000461150003802</t>
    <phoneticPr fontId="1" type="noConversion"/>
  </si>
  <si>
    <t>000468150001102</t>
    <phoneticPr fontId="1" type="noConversion"/>
  </si>
  <si>
    <t>000468150003802</t>
    <phoneticPr fontId="1" type="noConversion"/>
  </si>
  <si>
    <t>000468150000102</t>
    <phoneticPr fontId="1" type="noConversion"/>
  </si>
  <si>
    <t>000474320000302</t>
    <phoneticPr fontId="1" type="noConversion"/>
  </si>
  <si>
    <t>3x4" White</t>
    <phoneticPr fontId="12" type="noConversion"/>
  </si>
  <si>
    <t>5-1490.75.02</t>
    <phoneticPr fontId="12" type="noConversion"/>
  </si>
  <si>
    <t>3x4" Grey</t>
    <phoneticPr fontId="12" type="noConversion"/>
  </si>
  <si>
    <t>4x5" White</t>
    <phoneticPr fontId="12" type="noConversion"/>
  </si>
  <si>
    <t>001490100000207</t>
    <phoneticPr fontId="12" type="noConversion"/>
  </si>
  <si>
    <t>5-1490.100.02</t>
    <phoneticPr fontId="12" type="noConversion"/>
  </si>
  <si>
    <t>4x5" Grey</t>
    <phoneticPr fontId="12" type="noConversion"/>
  </si>
  <si>
    <t>001490125000107</t>
    <phoneticPr fontId="12" type="noConversion"/>
  </si>
  <si>
    <t>5-1490.125.01</t>
    <phoneticPr fontId="12" type="noConversion"/>
  </si>
  <si>
    <t>5x6" White</t>
    <phoneticPr fontId="12" type="noConversion"/>
  </si>
  <si>
    <t>001490125000207</t>
    <phoneticPr fontId="12" type="noConversion"/>
  </si>
  <si>
    <t>5-1490.125.02</t>
    <phoneticPr fontId="12" type="noConversion"/>
  </si>
  <si>
    <t>5x6" Grey</t>
    <phoneticPr fontId="12" type="noConversion"/>
  </si>
  <si>
    <t>001490150000107</t>
    <phoneticPr fontId="12" type="noConversion"/>
  </si>
  <si>
    <t>5-1490.150.01</t>
    <phoneticPr fontId="12" type="noConversion"/>
  </si>
  <si>
    <t>6x8" White</t>
    <phoneticPr fontId="12" type="noConversion"/>
  </si>
  <si>
    <t>001490150000207</t>
    <phoneticPr fontId="12" type="noConversion"/>
  </si>
  <si>
    <t>5-1490.150.02</t>
    <phoneticPr fontId="12" type="noConversion"/>
  </si>
  <si>
    <t>6x8" Grey</t>
    <phoneticPr fontId="12" type="noConversion"/>
  </si>
  <si>
    <t>001490175000107</t>
    <phoneticPr fontId="12" type="noConversion"/>
  </si>
  <si>
    <t>7x9" White</t>
    <phoneticPr fontId="12" type="noConversion"/>
  </si>
  <si>
    <t>001490175000207</t>
    <phoneticPr fontId="12" type="noConversion"/>
  </si>
  <si>
    <t>7x9" Grey</t>
    <phoneticPr fontId="12" type="noConversion"/>
  </si>
  <si>
    <t>001490200000107</t>
    <phoneticPr fontId="12" type="noConversion"/>
  </si>
  <si>
    <t>5-1490.200.01</t>
    <phoneticPr fontId="12" type="noConversion"/>
  </si>
  <si>
    <t>8x10" White</t>
    <phoneticPr fontId="12" type="noConversion"/>
  </si>
  <si>
    <t>001490200000207</t>
    <phoneticPr fontId="12" type="noConversion"/>
  </si>
  <si>
    <t>8x10" Grey</t>
    <phoneticPr fontId="12" type="noConversion"/>
  </si>
  <si>
    <t>001490250000107</t>
    <phoneticPr fontId="12" type="noConversion"/>
  </si>
  <si>
    <t>5-1490.250.01</t>
    <phoneticPr fontId="12" type="noConversion"/>
  </si>
  <si>
    <t>10x12" White</t>
    <phoneticPr fontId="12" type="noConversion"/>
  </si>
  <si>
    <t>001490250000207</t>
    <phoneticPr fontId="12" type="noConversion"/>
  </si>
  <si>
    <t>5-1490.250.02</t>
    <phoneticPr fontId="12" type="noConversion"/>
  </si>
  <si>
    <t>10x12" Grey</t>
    <phoneticPr fontId="12" type="noConversion"/>
  </si>
  <si>
    <t>001490300000107</t>
    <phoneticPr fontId="12" type="noConversion"/>
  </si>
  <si>
    <t>5-1490.300.01</t>
    <phoneticPr fontId="12" type="noConversion"/>
  </si>
  <si>
    <t>12x14" White</t>
    <phoneticPr fontId="12" type="noConversion"/>
  </si>
  <si>
    <t>001490300000207</t>
    <phoneticPr fontId="12" type="noConversion"/>
  </si>
  <si>
    <t>5-1490.300.02</t>
    <phoneticPr fontId="12" type="noConversion"/>
  </si>
  <si>
    <t>12x14" Grey</t>
    <phoneticPr fontId="12" type="noConversion"/>
  </si>
  <si>
    <t>000460200001802</t>
    <phoneticPr fontId="1" type="noConversion"/>
  </si>
  <si>
    <t>000460150000000</t>
    <phoneticPr fontId="1" type="noConversion"/>
  </si>
  <si>
    <t>000460150001102</t>
    <phoneticPr fontId="1" type="noConversion"/>
  </si>
  <si>
    <t>000460150001802</t>
    <phoneticPr fontId="1" type="noConversion"/>
  </si>
  <si>
    <t>000460200000000</t>
    <phoneticPr fontId="1" type="noConversion"/>
  </si>
  <si>
    <t>000460200001102</t>
    <phoneticPr fontId="1" type="noConversion"/>
  </si>
  <si>
    <t>2-1460.200.35</t>
    <phoneticPr fontId="1" type="noConversion"/>
  </si>
  <si>
    <t>000460250000302</t>
    <phoneticPr fontId="1" type="noConversion"/>
  </si>
  <si>
    <t>000461200000102</t>
    <phoneticPr fontId="1" type="noConversion"/>
  </si>
  <si>
    <t>000461200003802</t>
    <phoneticPr fontId="1" type="noConversion"/>
  </si>
  <si>
    <t>000462200000000</t>
    <phoneticPr fontId="1" type="noConversion"/>
  </si>
  <si>
    <t>000467150001102</t>
    <phoneticPr fontId="1" type="noConversion"/>
  </si>
  <si>
    <t>000468150000302</t>
    <phoneticPr fontId="1" type="noConversion"/>
  </si>
  <si>
    <t>000468200000102</t>
    <phoneticPr fontId="1" type="noConversion"/>
  </si>
  <si>
    <t>000468200003802</t>
    <phoneticPr fontId="1" type="noConversion"/>
  </si>
  <si>
    <t>000474120000102</t>
    <phoneticPr fontId="1" type="noConversion"/>
  </si>
  <si>
    <t>000474120000302</t>
    <phoneticPr fontId="1" type="noConversion"/>
  </si>
  <si>
    <t>000474220000102</t>
    <phoneticPr fontId="1" type="noConversion"/>
  </si>
  <si>
    <t>000474270000102</t>
    <phoneticPr fontId="1" type="noConversion"/>
  </si>
  <si>
    <t>000474320000102</t>
    <phoneticPr fontId="1" type="noConversion"/>
  </si>
  <si>
    <t>001472200001702</t>
    <phoneticPr fontId="1" type="noConversion"/>
  </si>
  <si>
    <t>000474170000102</t>
    <phoneticPr fontId="1" type="noConversion"/>
  </si>
  <si>
    <t>000474170000302</t>
    <phoneticPr fontId="1" type="noConversion"/>
  </si>
  <si>
    <t>000474220000302</t>
    <phoneticPr fontId="1" type="noConversion"/>
  </si>
  <si>
    <t>000474270000302</t>
    <phoneticPr fontId="1" type="noConversion"/>
  </si>
  <si>
    <t>2-1465.200.R</t>
    <phoneticPr fontId="13" type="noConversion"/>
  </si>
  <si>
    <t>000465200000000</t>
    <phoneticPr fontId="13" type="noConversion"/>
  </si>
  <si>
    <t>2-1462.150.R</t>
    <phoneticPr fontId="1" type="noConversion"/>
  </si>
  <si>
    <t>000462200003802</t>
    <phoneticPr fontId="1" type="noConversion"/>
  </si>
  <si>
    <t>001490075000207</t>
    <phoneticPr fontId="1" type="noConversion"/>
  </si>
  <si>
    <t>2-1472.150.R</t>
    <phoneticPr fontId="1" type="noConversion"/>
  </si>
  <si>
    <t>2-1472.200.R</t>
    <phoneticPr fontId="1" type="noConversion"/>
  </si>
  <si>
    <t>000460150004102</t>
    <phoneticPr fontId="1" type="noConversion"/>
  </si>
  <si>
    <t>000466200003802</t>
    <phoneticPr fontId="1" type="noConversion"/>
  </si>
  <si>
    <t>001472150001802</t>
  </si>
  <si>
    <t>000464150007202</t>
    <phoneticPr fontId="1" type="noConversion"/>
  </si>
  <si>
    <t>001472200001802</t>
    <phoneticPr fontId="1" type="noConversion"/>
  </si>
  <si>
    <t>001490075000107</t>
    <phoneticPr fontId="1" type="noConversion"/>
  </si>
  <si>
    <t>000468200000000</t>
    <phoneticPr fontId="1" type="noConversion"/>
  </si>
  <si>
    <t>000468150000000</t>
    <phoneticPr fontId="1" type="noConversion"/>
  </si>
  <si>
    <t>000460250000000</t>
    <phoneticPr fontId="1" type="noConversion"/>
  </si>
  <si>
    <t>000467200000000</t>
  </si>
  <si>
    <r>
      <rPr>
        <sz val="9"/>
        <color indexed="8"/>
        <rFont val="宋体"/>
        <charset val="134"/>
      </rPr>
      <t>规格</t>
    </r>
    <phoneticPr fontId="1" type="noConversion"/>
  </si>
  <si>
    <r>
      <rPr>
        <sz val="9"/>
        <color indexed="8"/>
        <rFont val="宋体"/>
        <charset val="134"/>
      </rPr>
      <t>货号</t>
    </r>
    <phoneticPr fontId="1" type="noConversion"/>
  </si>
  <si>
    <r>
      <rPr>
        <sz val="9"/>
        <color indexed="8"/>
        <rFont val="宋体"/>
        <charset val="134"/>
      </rPr>
      <t>颜色</t>
    </r>
    <phoneticPr fontId="1" type="noConversion"/>
  </si>
  <si>
    <r>
      <rPr>
        <sz val="9"/>
        <color indexed="8"/>
        <rFont val="宋体"/>
        <charset val="134"/>
      </rPr>
      <t>数量</t>
    </r>
    <phoneticPr fontId="1" type="noConversion"/>
  </si>
  <si>
    <r>
      <rPr>
        <sz val="9"/>
        <color indexed="8"/>
        <rFont val="宋体"/>
        <charset val="134"/>
      </rPr>
      <t>收价</t>
    </r>
    <phoneticPr fontId="1" type="noConversion"/>
  </si>
  <si>
    <r>
      <rPr>
        <sz val="9"/>
        <color indexed="8"/>
        <rFont val="宋体"/>
        <charset val="134"/>
      </rPr>
      <t>总共</t>
    </r>
    <phoneticPr fontId="1" type="noConversion"/>
  </si>
  <si>
    <r>
      <rPr>
        <sz val="9"/>
        <color indexed="8"/>
        <rFont val="宋体"/>
        <charset val="134"/>
      </rPr>
      <t>单价</t>
    </r>
    <phoneticPr fontId="1" type="noConversion"/>
  </si>
  <si>
    <r>
      <rPr>
        <sz val="9"/>
        <color indexed="8"/>
        <rFont val="宋体"/>
        <charset val="134"/>
      </rPr>
      <t>合计</t>
    </r>
    <phoneticPr fontId="1" type="noConversion"/>
  </si>
  <si>
    <r>
      <rPr>
        <b/>
        <sz val="9"/>
        <color indexed="8"/>
        <rFont val="宋体"/>
        <charset val="134"/>
      </rPr>
      <t>报关价</t>
    </r>
    <phoneticPr fontId="1" type="noConversion"/>
  </si>
  <si>
    <r>
      <rPr>
        <b/>
        <sz val="9"/>
        <color indexed="8"/>
        <rFont val="宋体"/>
        <charset val="134"/>
      </rPr>
      <t>合计</t>
    </r>
    <phoneticPr fontId="1" type="noConversion"/>
  </si>
  <si>
    <r>
      <rPr>
        <sz val="9"/>
        <color indexed="8"/>
        <rFont val="宋体"/>
        <charset val="134"/>
      </rPr>
      <t>条码</t>
    </r>
    <phoneticPr fontId="1" type="noConversion"/>
  </si>
  <si>
    <r>
      <rPr>
        <b/>
        <sz val="9"/>
        <color indexed="8"/>
        <rFont val="宋体"/>
        <charset val="134"/>
      </rPr>
      <t>装饰架子</t>
    </r>
    <phoneticPr fontId="1" type="noConversion"/>
  </si>
  <si>
    <r>
      <t xml:space="preserve">2015.6 </t>
    </r>
    <r>
      <rPr>
        <sz val="12"/>
        <rFont val="宋体"/>
        <charset val="134"/>
      </rPr>
      <t>新价</t>
    </r>
    <phoneticPr fontId="1" type="noConversion"/>
  </si>
  <si>
    <r>
      <rPr>
        <sz val="9"/>
        <color indexed="8"/>
        <rFont val="宋体"/>
        <charset val="134"/>
      </rPr>
      <t>外圆弧</t>
    </r>
    <r>
      <rPr>
        <sz val="12"/>
        <rFont val="Times New Roman"/>
        <family val="1"/>
      </rPr>
      <t>-150</t>
    </r>
    <phoneticPr fontId="1" type="noConversion"/>
  </si>
  <si>
    <r>
      <rPr>
        <sz val="9"/>
        <color indexed="8"/>
        <rFont val="宋体"/>
        <charset val="134"/>
      </rPr>
      <t>简装毛胚</t>
    </r>
    <phoneticPr fontId="1" type="noConversion"/>
  </si>
  <si>
    <r>
      <rPr>
        <sz val="9"/>
        <color indexed="8"/>
        <rFont val="宋体"/>
        <charset val="134"/>
      </rPr>
      <t>白色</t>
    </r>
    <phoneticPr fontId="1" type="noConversion"/>
  </si>
  <si>
    <r>
      <rPr>
        <sz val="9"/>
        <color indexed="8"/>
        <rFont val="宋体"/>
        <charset val="134"/>
      </rPr>
      <t>亚光黑</t>
    </r>
    <phoneticPr fontId="1" type="noConversion"/>
  </si>
  <si>
    <r>
      <rPr>
        <sz val="9"/>
        <color indexed="8"/>
        <rFont val="宋体"/>
        <charset val="134"/>
      </rPr>
      <t>银灰色</t>
    </r>
    <phoneticPr fontId="1" type="noConversion"/>
  </si>
  <si>
    <r>
      <rPr>
        <sz val="9"/>
        <color indexed="8"/>
        <rFont val="宋体"/>
        <charset val="134"/>
      </rPr>
      <t>橙色</t>
    </r>
    <phoneticPr fontId="1" type="noConversion"/>
  </si>
  <si>
    <r>
      <rPr>
        <sz val="9"/>
        <color indexed="8"/>
        <rFont val="宋体"/>
        <charset val="134"/>
      </rPr>
      <t>淡黄绿色</t>
    </r>
    <phoneticPr fontId="1" type="noConversion"/>
  </si>
  <si>
    <r>
      <rPr>
        <sz val="9"/>
        <color indexed="8"/>
        <rFont val="宋体"/>
        <charset val="134"/>
      </rPr>
      <t>咖啡色</t>
    </r>
    <r>
      <rPr>
        <sz val="12"/>
        <rFont val="Times New Roman"/>
        <family val="1"/>
      </rPr>
      <t>4</t>
    </r>
    <phoneticPr fontId="1" type="noConversion"/>
  </si>
  <si>
    <r>
      <rPr>
        <sz val="9"/>
        <color indexed="8"/>
        <rFont val="宋体"/>
        <charset val="134"/>
      </rPr>
      <t>棕色</t>
    </r>
    <phoneticPr fontId="1" type="noConversion"/>
  </si>
  <si>
    <r>
      <rPr>
        <sz val="9"/>
        <color indexed="8"/>
        <rFont val="宋体"/>
        <charset val="134"/>
      </rPr>
      <t>镀铬</t>
    </r>
    <phoneticPr fontId="1" type="noConversion"/>
  </si>
  <si>
    <r>
      <rPr>
        <sz val="9"/>
        <color indexed="8"/>
        <rFont val="宋体"/>
        <charset val="134"/>
      </rPr>
      <t>外圆弧</t>
    </r>
    <r>
      <rPr>
        <sz val="12"/>
        <rFont val="Times New Roman"/>
        <family val="1"/>
      </rPr>
      <t>-200</t>
    </r>
    <phoneticPr fontId="1" type="noConversion"/>
  </si>
  <si>
    <r>
      <rPr>
        <sz val="9"/>
        <color indexed="8"/>
        <rFont val="宋体"/>
        <charset val="134"/>
      </rPr>
      <t>红色</t>
    </r>
    <phoneticPr fontId="1" type="noConversion"/>
  </si>
  <si>
    <r>
      <rPr>
        <sz val="9"/>
        <color indexed="8"/>
        <rFont val="宋体"/>
        <charset val="134"/>
      </rPr>
      <t>苹果绿</t>
    </r>
  </si>
  <si>
    <r>
      <rPr>
        <sz val="9"/>
        <color indexed="8"/>
        <rFont val="宋体"/>
        <charset val="134"/>
      </rPr>
      <t>海蓝</t>
    </r>
  </si>
  <si>
    <r>
      <rPr>
        <sz val="9"/>
        <color indexed="8"/>
        <rFont val="宋体"/>
        <charset val="134"/>
      </rPr>
      <t>外圆弧</t>
    </r>
    <r>
      <rPr>
        <sz val="12"/>
        <rFont val="Times New Roman"/>
        <family val="1"/>
      </rPr>
      <t>-250</t>
    </r>
    <phoneticPr fontId="1" type="noConversion"/>
  </si>
  <si>
    <r>
      <rPr>
        <sz val="9"/>
        <color indexed="8"/>
        <rFont val="宋体"/>
        <charset val="134"/>
      </rPr>
      <t>黑色</t>
    </r>
    <phoneticPr fontId="1" type="noConversion"/>
  </si>
  <si>
    <r>
      <rPr>
        <sz val="9"/>
        <color indexed="8"/>
        <rFont val="宋体"/>
        <charset val="134"/>
      </rPr>
      <t>单内弧</t>
    </r>
    <r>
      <rPr>
        <sz val="12"/>
        <rFont val="Times New Roman"/>
        <family val="1"/>
      </rPr>
      <t>-150</t>
    </r>
    <phoneticPr fontId="1" type="noConversion"/>
  </si>
  <si>
    <r>
      <rPr>
        <sz val="9"/>
        <color indexed="8"/>
        <rFont val="宋体"/>
        <charset val="134"/>
      </rPr>
      <t>单内弧</t>
    </r>
    <r>
      <rPr>
        <sz val="12"/>
        <rFont val="Times New Roman"/>
        <family val="1"/>
      </rPr>
      <t>-200</t>
    </r>
  </si>
  <si>
    <r>
      <rPr>
        <sz val="9"/>
        <color indexed="8"/>
        <rFont val="宋体"/>
        <charset val="134"/>
      </rPr>
      <t>朱红</t>
    </r>
    <r>
      <rPr>
        <sz val="12"/>
        <rFont val="Times New Roman"/>
        <family val="1"/>
      </rPr>
      <t xml:space="preserve">  2</t>
    </r>
    <phoneticPr fontId="1" type="noConversion"/>
  </si>
  <si>
    <r>
      <rPr>
        <sz val="9"/>
        <color indexed="8"/>
        <rFont val="宋体"/>
        <charset val="134"/>
      </rPr>
      <t>砂白</t>
    </r>
    <r>
      <rPr>
        <sz val="12"/>
        <rFont val="Times New Roman"/>
        <family val="1"/>
      </rPr>
      <t xml:space="preserve">  3</t>
    </r>
    <phoneticPr fontId="1" type="noConversion"/>
  </si>
  <si>
    <r>
      <rPr>
        <sz val="9"/>
        <color indexed="8"/>
        <rFont val="宋体"/>
        <charset val="134"/>
      </rPr>
      <t>天蓝</t>
    </r>
    <phoneticPr fontId="1" type="noConversion"/>
  </si>
  <si>
    <r>
      <rPr>
        <sz val="9"/>
        <color indexed="8"/>
        <rFont val="宋体"/>
        <charset val="134"/>
      </rPr>
      <t>浅蓝</t>
    </r>
    <r>
      <rPr>
        <sz val="12"/>
        <rFont val="Times New Roman"/>
        <family val="1"/>
      </rPr>
      <t xml:space="preserve">  1</t>
    </r>
    <phoneticPr fontId="1" type="noConversion"/>
  </si>
  <si>
    <r>
      <rPr>
        <sz val="9"/>
        <color indexed="8"/>
        <rFont val="宋体"/>
        <charset val="134"/>
      </rPr>
      <t>新</t>
    </r>
    <phoneticPr fontId="1" type="noConversion"/>
  </si>
  <si>
    <r>
      <rPr>
        <sz val="9"/>
        <color indexed="8"/>
        <rFont val="宋体"/>
        <charset val="134"/>
      </rPr>
      <t>方台阶</t>
    </r>
    <r>
      <rPr>
        <sz val="12"/>
        <rFont val="Times New Roman"/>
        <family val="1"/>
      </rPr>
      <t>-150</t>
    </r>
    <phoneticPr fontId="1" type="noConversion"/>
  </si>
  <si>
    <r>
      <rPr>
        <sz val="9"/>
        <color indexed="8"/>
        <rFont val="宋体"/>
        <charset val="134"/>
      </rPr>
      <t>砂黑</t>
    </r>
    <phoneticPr fontId="1" type="noConversion"/>
  </si>
  <si>
    <r>
      <rPr>
        <sz val="9"/>
        <color indexed="8"/>
        <rFont val="宋体"/>
        <charset val="134"/>
      </rPr>
      <t>方台阶</t>
    </r>
    <r>
      <rPr>
        <sz val="9"/>
        <rFont val="Times New Roman"/>
        <family val="1"/>
      </rPr>
      <t>-200</t>
    </r>
    <phoneticPr fontId="1" type="noConversion"/>
  </si>
  <si>
    <r>
      <rPr>
        <sz val="9"/>
        <color indexed="8"/>
        <rFont val="宋体"/>
        <charset val="134"/>
      </rPr>
      <t>圆圈</t>
    </r>
    <r>
      <rPr>
        <sz val="9"/>
        <rFont val="Times New Roman"/>
        <family val="1"/>
      </rPr>
      <t>-150</t>
    </r>
    <phoneticPr fontId="1" type="noConversion"/>
  </si>
  <si>
    <r>
      <rPr>
        <sz val="9"/>
        <color indexed="8"/>
        <rFont val="宋体"/>
        <charset val="134"/>
      </rPr>
      <t>朱红</t>
    </r>
    <r>
      <rPr>
        <sz val="9"/>
        <rFont val="Times New Roman"/>
        <family val="1"/>
      </rPr>
      <t xml:space="preserve">  2</t>
    </r>
    <phoneticPr fontId="1" type="noConversion"/>
  </si>
  <si>
    <r>
      <rPr>
        <sz val="9"/>
        <color indexed="8"/>
        <rFont val="宋体"/>
        <charset val="134"/>
      </rPr>
      <t>砂白</t>
    </r>
    <r>
      <rPr>
        <sz val="9"/>
        <rFont val="Times New Roman"/>
        <family val="1"/>
      </rPr>
      <t xml:space="preserve">  3</t>
    </r>
    <phoneticPr fontId="1" type="noConversion"/>
  </si>
  <si>
    <r>
      <rPr>
        <sz val="9"/>
        <color indexed="8"/>
        <rFont val="宋体"/>
        <charset val="134"/>
      </rPr>
      <t>砂黑</t>
    </r>
  </si>
  <si>
    <r>
      <rPr>
        <sz val="9"/>
        <color indexed="8"/>
        <rFont val="宋体"/>
        <charset val="134"/>
      </rPr>
      <t>蓝</t>
    </r>
    <r>
      <rPr>
        <sz val="12"/>
        <rFont val="Times New Roman"/>
        <family val="1"/>
      </rPr>
      <t xml:space="preserve"> lead blue</t>
    </r>
    <phoneticPr fontId="1" type="noConversion"/>
  </si>
  <si>
    <r>
      <rPr>
        <sz val="9"/>
        <color indexed="8"/>
        <rFont val="宋体"/>
        <charset val="134"/>
      </rPr>
      <t>土黄</t>
    </r>
    <r>
      <rPr>
        <sz val="12"/>
        <rFont val="Times New Roman"/>
        <family val="1"/>
      </rPr>
      <t xml:space="preserve">  5</t>
    </r>
    <phoneticPr fontId="1" type="noConversion"/>
  </si>
  <si>
    <r>
      <rPr>
        <sz val="9"/>
        <color indexed="8"/>
        <rFont val="宋体"/>
        <charset val="134"/>
      </rPr>
      <t>弹簧</t>
    </r>
    <r>
      <rPr>
        <sz val="12"/>
        <rFont val="Times New Roman"/>
        <family val="1"/>
      </rPr>
      <t>-150</t>
    </r>
    <phoneticPr fontId="1" type="noConversion"/>
  </si>
  <si>
    <r>
      <rPr>
        <sz val="9"/>
        <color indexed="8"/>
        <rFont val="宋体"/>
        <charset val="134"/>
      </rPr>
      <t>三椭圆孔</t>
    </r>
    <r>
      <rPr>
        <sz val="9"/>
        <rFont val="Times New Roman"/>
        <family val="1"/>
      </rPr>
      <t>-200</t>
    </r>
    <phoneticPr fontId="13" type="noConversion"/>
  </si>
  <si>
    <r>
      <rPr>
        <sz val="9"/>
        <color indexed="8"/>
        <rFont val="宋体"/>
        <charset val="134"/>
      </rPr>
      <t>简装毛胚</t>
    </r>
    <phoneticPr fontId="13" type="noConversion"/>
  </si>
  <si>
    <r>
      <rPr>
        <sz val="9"/>
        <color indexed="8"/>
        <rFont val="宋体"/>
        <charset val="134"/>
      </rPr>
      <t>四斜槽孔</t>
    </r>
    <r>
      <rPr>
        <sz val="12"/>
        <rFont val="Times New Roman"/>
        <family val="1"/>
      </rPr>
      <t>-200</t>
    </r>
    <phoneticPr fontId="1" type="noConversion"/>
  </si>
  <si>
    <r>
      <rPr>
        <sz val="9"/>
        <color indexed="8"/>
        <rFont val="宋体"/>
        <charset val="134"/>
      </rPr>
      <t>圆台阶</t>
    </r>
    <r>
      <rPr>
        <sz val="12"/>
        <rFont val="Times New Roman"/>
        <family val="1"/>
      </rPr>
      <t>-150</t>
    </r>
    <phoneticPr fontId="1" type="noConversion"/>
  </si>
  <si>
    <r>
      <rPr>
        <sz val="9"/>
        <color indexed="8"/>
        <rFont val="宋体"/>
        <charset val="134"/>
      </rPr>
      <t>毛胚</t>
    </r>
    <phoneticPr fontId="1" type="noConversion"/>
  </si>
  <si>
    <r>
      <rPr>
        <sz val="9"/>
        <color indexed="8"/>
        <rFont val="宋体"/>
        <charset val="134"/>
      </rPr>
      <t>棕色</t>
    </r>
  </si>
  <si>
    <r>
      <rPr>
        <sz val="9"/>
        <color indexed="8"/>
        <rFont val="宋体"/>
        <charset val="134"/>
      </rPr>
      <t>圆台阶</t>
    </r>
    <r>
      <rPr>
        <sz val="12"/>
        <rFont val="Times New Roman"/>
        <family val="1"/>
      </rPr>
      <t>-200</t>
    </r>
    <phoneticPr fontId="1" type="noConversion"/>
  </si>
  <si>
    <r>
      <rPr>
        <sz val="9"/>
        <color indexed="8"/>
        <rFont val="宋体"/>
        <charset val="134"/>
      </rPr>
      <t>方钢台阶</t>
    </r>
    <r>
      <rPr>
        <sz val="12"/>
        <rFont val="Times New Roman"/>
        <family val="1"/>
      </rPr>
      <t>-150</t>
    </r>
    <phoneticPr fontId="1" type="noConversion"/>
  </si>
  <si>
    <r>
      <rPr>
        <sz val="9"/>
        <color indexed="8"/>
        <rFont val="宋体"/>
        <charset val="134"/>
      </rPr>
      <t>方钢台阶</t>
    </r>
    <r>
      <rPr>
        <sz val="12"/>
        <rFont val="Times New Roman"/>
        <family val="1"/>
      </rPr>
      <t>-200</t>
    </r>
    <phoneticPr fontId="1" type="noConversion"/>
  </si>
  <si>
    <r>
      <rPr>
        <b/>
        <sz val="9"/>
        <color indexed="8"/>
        <rFont val="宋体"/>
        <charset val="134"/>
      </rPr>
      <t>带包装</t>
    </r>
  </si>
  <si>
    <r>
      <rPr>
        <sz val="9"/>
        <color indexed="8"/>
        <rFont val="宋体"/>
        <charset val="134"/>
      </rPr>
      <t>圣诞树</t>
    </r>
    <r>
      <rPr>
        <sz val="12"/>
        <rFont val="Times New Roman"/>
        <family val="1"/>
      </rPr>
      <t>-120</t>
    </r>
    <phoneticPr fontId="1" type="noConversion"/>
  </si>
  <si>
    <r>
      <rPr>
        <sz val="9"/>
        <color indexed="8"/>
        <rFont val="宋体"/>
        <charset val="134"/>
      </rPr>
      <t>亚光白</t>
    </r>
    <phoneticPr fontId="1" type="noConversion"/>
  </si>
  <si>
    <r>
      <rPr>
        <sz val="9"/>
        <color indexed="8"/>
        <rFont val="宋体"/>
        <charset val="134"/>
      </rPr>
      <t>圣诞树</t>
    </r>
    <r>
      <rPr>
        <sz val="12"/>
        <rFont val="Times New Roman"/>
        <family val="1"/>
      </rPr>
      <t>-150</t>
    </r>
    <phoneticPr fontId="1" type="noConversion"/>
  </si>
  <si>
    <r>
      <rPr>
        <sz val="9"/>
        <color indexed="8"/>
        <rFont val="宋体"/>
        <charset val="134"/>
      </rPr>
      <t>新款</t>
    </r>
    <r>
      <rPr>
        <sz val="12"/>
        <rFont val="Times New Roman"/>
        <family val="1"/>
      </rPr>
      <t>-150</t>
    </r>
    <phoneticPr fontId="1" type="noConversion"/>
  </si>
  <si>
    <r>
      <rPr>
        <sz val="9"/>
        <color indexed="8"/>
        <rFont val="宋体"/>
        <charset val="134"/>
      </rPr>
      <t>新款</t>
    </r>
    <r>
      <rPr>
        <sz val="12"/>
        <rFont val="Times New Roman"/>
        <family val="1"/>
      </rPr>
      <t>-200</t>
    </r>
    <phoneticPr fontId="1" type="noConversion"/>
  </si>
  <si>
    <r>
      <rPr>
        <b/>
        <sz val="9"/>
        <color indexed="8"/>
        <rFont val="宋体"/>
        <charset val="134"/>
      </rPr>
      <t>永康架子</t>
    </r>
    <phoneticPr fontId="1" type="noConversion"/>
  </si>
  <si>
    <r>
      <t xml:space="preserve">12x8, </t>
    </r>
    <r>
      <rPr>
        <sz val="9"/>
        <rFont val="宋体"/>
        <charset val="134"/>
      </rPr>
      <t>白色</t>
    </r>
    <phoneticPr fontId="1" type="noConversion"/>
  </si>
  <si>
    <r>
      <t xml:space="preserve">12x8, </t>
    </r>
    <r>
      <rPr>
        <sz val="9"/>
        <rFont val="宋体"/>
        <charset val="134"/>
      </rPr>
      <t>黑色</t>
    </r>
    <phoneticPr fontId="1" type="noConversion"/>
  </si>
  <si>
    <r>
      <t>17x12,</t>
    </r>
    <r>
      <rPr>
        <sz val="9"/>
        <rFont val="宋体"/>
        <charset val="134"/>
      </rPr>
      <t>白色</t>
    </r>
    <phoneticPr fontId="1" type="noConversion"/>
  </si>
  <si>
    <r>
      <t>17x12,</t>
    </r>
    <r>
      <rPr>
        <sz val="9"/>
        <rFont val="宋体"/>
        <charset val="134"/>
      </rPr>
      <t>黑色</t>
    </r>
    <phoneticPr fontId="1" type="noConversion"/>
  </si>
  <si>
    <r>
      <t>22x15.5,</t>
    </r>
    <r>
      <rPr>
        <sz val="9"/>
        <rFont val="宋体"/>
        <charset val="134"/>
      </rPr>
      <t>白色</t>
    </r>
    <phoneticPr fontId="1" type="noConversion"/>
  </si>
  <si>
    <r>
      <t>22x15.5,</t>
    </r>
    <r>
      <rPr>
        <sz val="9"/>
        <rFont val="宋体"/>
        <charset val="134"/>
      </rPr>
      <t>黑色</t>
    </r>
    <phoneticPr fontId="1" type="noConversion"/>
  </si>
  <si>
    <r>
      <t>27x19,</t>
    </r>
    <r>
      <rPr>
        <sz val="9"/>
        <rFont val="宋体"/>
        <charset val="134"/>
      </rPr>
      <t>白色</t>
    </r>
    <phoneticPr fontId="1" type="noConversion"/>
  </si>
  <si>
    <r>
      <t>27x19,</t>
    </r>
    <r>
      <rPr>
        <sz val="9"/>
        <rFont val="宋体"/>
        <charset val="134"/>
      </rPr>
      <t>黑色</t>
    </r>
    <phoneticPr fontId="1" type="noConversion"/>
  </si>
  <si>
    <r>
      <t>32x22,</t>
    </r>
    <r>
      <rPr>
        <sz val="9"/>
        <rFont val="宋体"/>
        <charset val="134"/>
      </rPr>
      <t>白色</t>
    </r>
    <phoneticPr fontId="1" type="noConversion"/>
  </si>
  <si>
    <r>
      <t>32x22,</t>
    </r>
    <r>
      <rPr>
        <sz val="9"/>
        <rFont val="宋体"/>
        <charset val="134"/>
      </rPr>
      <t>黑色</t>
    </r>
    <phoneticPr fontId="1" type="noConversion"/>
  </si>
  <si>
    <r>
      <t>45x15</t>
    </r>
    <r>
      <rPr>
        <sz val="9"/>
        <rFont val="宋体"/>
        <charset val="134"/>
      </rPr>
      <t>方管架子</t>
    </r>
    <phoneticPr fontId="1" type="noConversion"/>
  </si>
  <si>
    <r>
      <rPr>
        <sz val="9"/>
        <rFont val="宋体"/>
        <charset val="134"/>
      </rPr>
      <t>有光黑色</t>
    </r>
    <phoneticPr fontId="1" type="noConversion"/>
  </si>
  <si>
    <r>
      <rPr>
        <sz val="9"/>
        <rFont val="宋体"/>
        <charset val="134"/>
      </rPr>
      <t>沙面白色</t>
    </r>
    <phoneticPr fontId="1" type="noConversion"/>
  </si>
  <si>
    <r>
      <rPr>
        <sz val="9"/>
        <rFont val="宋体"/>
        <charset val="134"/>
      </rPr>
      <t>亮铬</t>
    </r>
    <phoneticPr fontId="1" type="noConversion"/>
  </si>
  <si>
    <r>
      <t>45x15</t>
    </r>
    <r>
      <rPr>
        <sz val="9"/>
        <rFont val="宋体"/>
        <charset val="134"/>
      </rPr>
      <t>扁钢框架</t>
    </r>
  </si>
  <si>
    <r>
      <rPr>
        <sz val="9"/>
        <rFont val="宋体"/>
        <charset val="134"/>
      </rPr>
      <t>亚光白色</t>
    </r>
    <phoneticPr fontId="1" type="noConversion"/>
  </si>
  <si>
    <r>
      <rPr>
        <sz val="9"/>
        <rFont val="宋体"/>
        <charset val="134"/>
      </rPr>
      <t>永康</t>
    </r>
    <phoneticPr fontId="1" type="noConversion"/>
  </si>
  <si>
    <r>
      <rPr>
        <sz val="9"/>
        <color indexed="10"/>
        <rFont val="宋体"/>
        <charset val="134"/>
      </rPr>
      <t>托盘费</t>
    </r>
    <phoneticPr fontId="1" type="noConversion"/>
  </si>
  <si>
    <r>
      <t xml:space="preserve">2021.05 </t>
    </r>
    <r>
      <rPr>
        <sz val="12"/>
        <rFont val="宋体"/>
        <charset val="134"/>
      </rPr>
      <t>新价</t>
    </r>
    <phoneticPr fontId="1" type="noConversion"/>
  </si>
  <si>
    <r>
      <t>2021.5.</t>
    </r>
    <r>
      <rPr>
        <sz val="9"/>
        <color indexed="8"/>
        <rFont val="宋体"/>
        <charset val="134"/>
      </rPr>
      <t>总增加为</t>
    </r>
    <r>
      <rPr>
        <sz val="9"/>
        <color indexed="8"/>
        <rFont val="Times New Roman"/>
        <family val="1"/>
      </rPr>
      <t>1.17*1.18=1.3806</t>
    </r>
    <phoneticPr fontId="1" type="noConversion"/>
  </si>
  <si>
    <r>
      <rPr>
        <sz val="9"/>
        <rFont val="宋体"/>
        <charset val="134"/>
      </rPr>
      <t>加</t>
    </r>
    <r>
      <rPr>
        <sz val="9"/>
        <rFont val="Times New Roman"/>
        <family val="1"/>
      </rPr>
      <t>38.06%</t>
    </r>
    <phoneticPr fontId="1" type="noConversion"/>
  </si>
  <si>
    <r>
      <t xml:space="preserve">2021.05 </t>
    </r>
    <r>
      <rPr>
        <b/>
        <sz val="9"/>
        <color indexed="36"/>
        <rFont val="宋体"/>
        <charset val="134"/>
      </rPr>
      <t>实价</t>
    </r>
    <phoneticPr fontId="1" type="noConversion"/>
  </si>
  <si>
    <t>001490100000107</t>
    <phoneticPr fontId="12" type="noConversion"/>
  </si>
  <si>
    <t>000461200001802</t>
    <phoneticPr fontId="1" type="noConversion"/>
  </si>
  <si>
    <t>000463150003802</t>
    <phoneticPr fontId="1" type="noConversion"/>
  </si>
  <si>
    <t>000462150003802</t>
    <phoneticPr fontId="1" type="noConversion"/>
  </si>
  <si>
    <t>PLT</t>
    <phoneticPr fontId="1" type="noConversion"/>
  </si>
  <si>
    <t>000462200006102</t>
    <phoneticPr fontId="1" type="noConversion"/>
  </si>
  <si>
    <t>亚光黑</t>
    <phoneticPr fontId="1" type="noConversion"/>
  </si>
  <si>
    <t>-8%</t>
    <phoneticPr fontId="1" type="noConversion"/>
  </si>
  <si>
    <t>-15%</t>
    <phoneticPr fontId="1" type="noConversion"/>
  </si>
  <si>
    <t>000467150000000</t>
    <phoneticPr fontId="1" type="noConversion"/>
  </si>
  <si>
    <r>
      <t xml:space="preserve">2024.4.26 </t>
    </r>
    <r>
      <rPr>
        <sz val="9"/>
        <rFont val="宋体"/>
        <charset val="134"/>
      </rPr>
      <t>新价</t>
    </r>
    <phoneticPr fontId="1" type="noConversion"/>
  </si>
  <si>
    <r>
      <rPr>
        <b/>
        <sz val="9"/>
        <color indexed="10"/>
        <rFont val="宋体"/>
        <charset val="134"/>
      </rPr>
      <t>$2000以下加10</t>
    </r>
    <r>
      <rPr>
        <b/>
        <sz val="9"/>
        <color indexed="10"/>
        <rFont val="Times New Roman"/>
        <family val="1"/>
      </rPr>
      <t>%</t>
    </r>
    <phoneticPr fontId="1" type="noConversion"/>
  </si>
  <si>
    <t>净价</t>
  </si>
  <si>
    <t>原价</t>
    <phoneticPr fontId="1" type="noConversion"/>
  </si>
  <si>
    <r>
      <t xml:space="preserve">2024.4.29 </t>
    </r>
    <r>
      <rPr>
        <b/>
        <sz val="9"/>
        <rFont val="宋体"/>
        <charset val="134"/>
      </rPr>
      <t>新价</t>
    </r>
    <phoneticPr fontId="1" type="noConversion"/>
  </si>
  <si>
    <r>
      <rPr>
        <sz val="9"/>
        <color indexed="10"/>
        <rFont val="宋体"/>
        <charset val="134"/>
      </rPr>
      <t>原价</t>
    </r>
    <r>
      <rPr>
        <sz val="9"/>
        <color indexed="10"/>
        <rFont val="Times New Roman"/>
        <family val="1"/>
      </rPr>
      <t>*85%</t>
    </r>
    <phoneticPr fontId="1" type="noConversion"/>
  </si>
  <si>
    <r>
      <t>2023.11.09</t>
    </r>
    <r>
      <rPr>
        <sz val="9"/>
        <rFont val="宋体"/>
        <charset val="134"/>
      </rPr>
      <t>价格</t>
    </r>
    <r>
      <rPr>
        <sz val="9"/>
        <rFont val="Times New Roman"/>
        <family val="1"/>
      </rPr>
      <t>(</t>
    </r>
    <r>
      <rPr>
        <sz val="9"/>
        <rFont val="宋体"/>
        <charset val="134"/>
      </rPr>
      <t>同</t>
    </r>
    <r>
      <rPr>
        <sz val="9"/>
        <rFont val="Times New Roman"/>
        <family val="1"/>
      </rPr>
      <t>MLC)</t>
    </r>
    <phoneticPr fontId="1" type="noConversion"/>
  </si>
  <si>
    <r>
      <rPr>
        <sz val="9"/>
        <rFont val="宋体"/>
        <charset val="134"/>
      </rPr>
      <t>￥</t>
    </r>
    <r>
      <rPr>
        <sz val="9"/>
        <rFont val="Times New Roman"/>
        <family val="1"/>
      </rPr>
      <t>3W</t>
    </r>
    <r>
      <rPr>
        <sz val="9"/>
        <rFont val="宋体"/>
        <charset val="134"/>
      </rPr>
      <t>以下加</t>
    </r>
    <r>
      <rPr>
        <sz val="9"/>
        <rFont val="Times New Roman"/>
        <family val="1"/>
      </rPr>
      <t>300</t>
    </r>
    <phoneticPr fontId="1" type="noConversion"/>
  </si>
  <si>
    <t>001070201017P02</t>
    <phoneticPr fontId="1" type="noConversion"/>
  </si>
  <si>
    <t>砂白</t>
    <phoneticPr fontId="1" type="noConversion"/>
  </si>
  <si>
    <t>001070201018P02</t>
    <phoneticPr fontId="1" type="noConversion"/>
  </si>
  <si>
    <t>砂黑</t>
    <phoneticPr fontId="1" type="noConversion"/>
  </si>
  <si>
    <t>001070251218P02</t>
  </si>
  <si>
    <t>001070252017P02</t>
    <phoneticPr fontId="1" type="noConversion"/>
  </si>
  <si>
    <t>001070252018P02</t>
  </si>
  <si>
    <t>001070302017P02</t>
    <phoneticPr fontId="1" type="noConversion"/>
  </si>
  <si>
    <t>001070302018P02</t>
    <phoneticPr fontId="1" type="noConversion"/>
  </si>
  <si>
    <r>
      <t>1070</t>
    </r>
    <r>
      <rPr>
        <sz val="9"/>
        <color indexed="8"/>
        <rFont val="宋体"/>
        <charset val="134"/>
      </rPr>
      <t>方架子</t>
    </r>
    <phoneticPr fontId="1" type="noConversion"/>
  </si>
  <si>
    <r>
      <t>1079</t>
    </r>
    <r>
      <rPr>
        <sz val="9"/>
        <color indexed="8"/>
        <rFont val="宋体"/>
        <charset val="134"/>
      </rPr>
      <t>三角架子</t>
    </r>
    <phoneticPr fontId="1" type="noConversion"/>
  </si>
  <si>
    <t>001079252018P02</t>
  </si>
  <si>
    <r>
      <t>1071</t>
    </r>
    <r>
      <rPr>
        <sz val="9"/>
        <color indexed="8"/>
        <rFont val="Arial Black"/>
        <family val="2"/>
      </rPr>
      <t>L</t>
    </r>
    <r>
      <rPr>
        <sz val="9"/>
        <color indexed="8"/>
        <rFont val="宋体"/>
        <charset val="134"/>
      </rPr>
      <t>型架子</t>
    </r>
  </si>
  <si>
    <t>几何型架子</t>
    <phoneticPr fontId="1" type="noConversion"/>
  </si>
  <si>
    <t>2-1070.2010.17P</t>
  </si>
  <si>
    <t>2-1070.2010.18P</t>
  </si>
  <si>
    <t>2-1070.2512.17P</t>
  </si>
  <si>
    <t>2-1070.2512.18P</t>
  </si>
  <si>
    <t>2-1070.2520.17P</t>
  </si>
  <si>
    <t>2-1070.2520.18P</t>
  </si>
  <si>
    <t>2-1070.3020.17P</t>
  </si>
  <si>
    <t>2-1070.3020.18P</t>
  </si>
  <si>
    <t>2-1079.2520.17P</t>
  </si>
  <si>
    <t>2-1079.2520.18P</t>
  </si>
  <si>
    <t>2-1071.200.17P</t>
  </si>
  <si>
    <t>2-1071.200.18P</t>
  </si>
  <si>
    <t>2-1071.250.17P</t>
  </si>
  <si>
    <t>2-1071.250.18P</t>
  </si>
  <si>
    <t>萧山</t>
    <phoneticPr fontId="1" type="noConversion"/>
  </si>
  <si>
    <t>挂钩</t>
    <phoneticPr fontId="1" type="noConversion"/>
  </si>
  <si>
    <t>5-8005</t>
    <phoneticPr fontId="1" type="noConversion"/>
  </si>
  <si>
    <t>黑色</t>
    <phoneticPr fontId="1" type="noConversion"/>
  </si>
  <si>
    <t>模具</t>
    <phoneticPr fontId="1" type="noConversion"/>
  </si>
  <si>
    <t>001070251217P02</t>
    <phoneticPr fontId="1" type="noConversion"/>
  </si>
  <si>
    <t>001079252017P02</t>
    <phoneticPr fontId="1" type="noConversion"/>
  </si>
  <si>
    <t>008005065000307</t>
  </si>
  <si>
    <t>2-1474.270.01</t>
    <phoneticPr fontId="1" type="noConversion"/>
  </si>
  <si>
    <t>已经发货</t>
    <phoneticPr fontId="1" type="noConversion"/>
  </si>
  <si>
    <t>000462150006102</t>
    <phoneticPr fontId="1" type="noConversion"/>
  </si>
  <si>
    <t>000463150004102</t>
    <phoneticPr fontId="1" type="noConversion"/>
  </si>
  <si>
    <t>000461200004102</t>
    <phoneticPr fontId="1" type="noConversion"/>
  </si>
  <si>
    <t>000461200001102</t>
    <phoneticPr fontId="1" type="noConversion"/>
  </si>
  <si>
    <t>000464150005602</t>
  </si>
  <si>
    <t>000464150006102</t>
    <phoneticPr fontId="1" type="noConversion"/>
  </si>
  <si>
    <t>000467150006102</t>
    <phoneticPr fontId="1" type="noConversion"/>
  </si>
  <si>
    <t>000467200001102</t>
  </si>
  <si>
    <t>000468200001102</t>
    <phoneticPr fontId="1" type="noConversion"/>
  </si>
  <si>
    <t>000468200004102</t>
    <phoneticPr fontId="1" type="noConversion"/>
  </si>
  <si>
    <t>000463150000402</t>
  </si>
  <si>
    <t>000463150003402</t>
  </si>
  <si>
    <t>000464150000402</t>
  </si>
  <si>
    <t>000465200000402</t>
  </si>
  <si>
    <t>000460200000402</t>
  </si>
  <si>
    <t>客人的新货号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</si>
</sst>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0.000"/>
    <numFmt numFmtId="177" formatCode="0.0"/>
    <numFmt numFmtId="178" formatCode="0.0_ "/>
    <numFmt numFmtId="179" formatCode="0.00_ "/>
    <numFmt numFmtId="181" formatCode="0.00_);[Red]\(0.00\)"/>
    <numFmt numFmtId="182" formatCode="0.0_);[Red]\(0.0\)"/>
    <numFmt numFmtId="183" formatCode="0_);[Red]\(0\)"/>
    <numFmt numFmtId="184" formatCode="0.000_);[Red]\(0.000\)"/>
    <numFmt numFmtId="190" formatCode="0.000_ "/>
    <numFmt numFmtId="191" formatCode="0_ "/>
    <numFmt numFmtId="199" formatCode="0.00;_㰀"/>
  </numFmts>
  <fonts count="47" x14ac:knownFonts="1">
    <font>
      <sz val="12"/>
      <name val="宋体"/>
      <charset val="134"/>
    </font>
    <font>
      <sz val="9"/>
      <name val="宋体"/>
      <charset val="134"/>
    </font>
    <font>
      <sz val="12"/>
      <name val="宋体"/>
      <charset val="134"/>
    </font>
    <font>
      <sz val="9"/>
      <color indexed="8"/>
      <name val="Times New Roman"/>
      <family val="1"/>
    </font>
    <font>
      <sz val="9"/>
      <color indexed="10"/>
      <name val="Times New Roman"/>
      <family val="1"/>
    </font>
    <font>
      <b/>
      <sz val="9"/>
      <color indexed="8"/>
      <name val="Times New Roman"/>
      <family val="1"/>
    </font>
    <font>
      <sz val="12"/>
      <name val="Times New Roman"/>
      <family val="1"/>
    </font>
    <font>
      <b/>
      <sz val="9"/>
      <color indexed="10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9"/>
      <color indexed="81"/>
      <name val="宋体"/>
      <charset val="134"/>
    </font>
    <font>
      <b/>
      <sz val="9"/>
      <color indexed="81"/>
      <name val="宋体"/>
      <charset val="134"/>
    </font>
    <font>
      <sz val="9"/>
      <name val="宋体"/>
      <charset val="134"/>
    </font>
    <font>
      <sz val="9"/>
      <name val="宋体"/>
      <charset val="134"/>
    </font>
    <font>
      <sz val="9"/>
      <name val="宋体"/>
      <charset val="134"/>
    </font>
    <font>
      <sz val="9"/>
      <color indexed="8"/>
      <name val="宋体"/>
      <charset val="134"/>
    </font>
    <font>
      <b/>
      <sz val="9"/>
      <color indexed="8"/>
      <name val="宋体"/>
      <charset val="134"/>
    </font>
    <font>
      <sz val="12"/>
      <name val="宋体"/>
      <charset val="134"/>
    </font>
    <font>
      <sz val="9"/>
      <color indexed="10"/>
      <name val="宋体"/>
      <charset val="134"/>
    </font>
    <font>
      <sz val="9"/>
      <color indexed="8"/>
      <name val="宋体"/>
      <charset val="134"/>
    </font>
    <font>
      <sz val="9"/>
      <name val="宋体"/>
      <charset val="134"/>
    </font>
    <font>
      <b/>
      <sz val="9"/>
      <color indexed="36"/>
      <name val="宋体"/>
      <charset val="134"/>
    </font>
    <font>
      <sz val="9"/>
      <name val="宋体"/>
      <charset val="134"/>
    </font>
    <font>
      <sz val="9"/>
      <name val="Times New Roman"/>
      <family val="1"/>
    </font>
    <font>
      <sz val="9"/>
      <color indexed="8"/>
      <name val="宋体"/>
      <charset val="134"/>
    </font>
    <font>
      <sz val="9"/>
      <color indexed="81"/>
      <name val="宋体"/>
      <charset val="134"/>
    </font>
    <font>
      <b/>
      <sz val="9"/>
      <color indexed="81"/>
      <name val="宋体"/>
      <charset val="134"/>
    </font>
    <font>
      <b/>
      <sz val="9"/>
      <color indexed="10"/>
      <name val="Times New Roman"/>
      <family val="1"/>
    </font>
    <font>
      <b/>
      <sz val="9"/>
      <color indexed="10"/>
      <name val="宋体"/>
      <charset val="134"/>
    </font>
    <font>
      <sz val="9"/>
      <name val="宋体"/>
      <charset val="134"/>
    </font>
    <font>
      <b/>
      <sz val="9"/>
      <color indexed="10"/>
      <name val="Times New Roman"/>
      <family val="1"/>
    </font>
    <font>
      <sz val="9"/>
      <color indexed="10"/>
      <name val="宋体"/>
      <charset val="134"/>
    </font>
    <font>
      <b/>
      <sz val="9"/>
      <name val="宋体"/>
      <charset val="134"/>
    </font>
    <font>
      <sz val="9"/>
      <color indexed="10"/>
      <name val="Times New Roman"/>
      <family val="1"/>
    </font>
    <font>
      <sz val="9"/>
      <name val="宋体"/>
      <charset val="134"/>
    </font>
    <font>
      <sz val="9"/>
      <name val="Times New Roman"/>
      <family val="1"/>
    </font>
    <font>
      <sz val="9"/>
      <color indexed="8"/>
      <name val="宋体"/>
      <charset val="134"/>
    </font>
    <font>
      <sz val="9"/>
      <color indexed="8"/>
      <name val="Arial Black"/>
      <family val="2"/>
    </font>
    <font>
      <b/>
      <sz val="12"/>
      <color indexed="8"/>
      <name val="宋体"/>
      <charset val="134"/>
    </font>
    <font>
      <sz val="9"/>
      <color indexed="8"/>
      <name val="宋体"/>
      <charset val="134"/>
    </font>
    <font>
      <b/>
      <sz val="9"/>
      <color indexed="8"/>
      <name val="宋体"/>
      <charset val="134"/>
    </font>
    <font>
      <b/>
      <sz val="12"/>
      <color indexed="8"/>
      <name val="宋体"/>
      <charset val="134"/>
    </font>
    <font>
      <b/>
      <sz val="12"/>
      <color indexed="8"/>
      <name val="Times New Roman"/>
      <family val="1"/>
    </font>
    <font>
      <b/>
      <sz val="12"/>
      <color indexed="10"/>
      <name val="Times New Roman"/>
      <family val="1"/>
    </font>
    <font>
      <b/>
      <sz val="9"/>
      <color rgb="FFFF0000"/>
      <name val="Times New Roman"/>
      <family val="1"/>
    </font>
    <font>
      <b/>
      <sz val="9"/>
      <color rgb="FF7030A0"/>
      <name val="Times New Roman"/>
      <family val="1"/>
    </font>
    <font>
      <sz val="9"/>
      <color indexed="8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>
      <alignment vertical="center"/>
    </xf>
  </cellStyleXfs>
  <cellXfs count="165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horizontal="right"/>
    </xf>
    <xf numFmtId="177" fontId="3" fillId="0" borderId="0" xfId="0" applyNumberFormat="1" applyFont="1"/>
    <xf numFmtId="179" fontId="3" fillId="0" borderId="0" xfId="0" applyNumberFormat="1" applyFont="1"/>
    <xf numFmtId="2" fontId="3" fillId="0" borderId="0" xfId="0" applyNumberFormat="1" applyFont="1"/>
    <xf numFmtId="2" fontId="4" fillId="0" borderId="0" xfId="0" applyNumberFormat="1" applyFont="1"/>
    <xf numFmtId="0" fontId="3" fillId="0" borderId="0" xfId="0" applyFont="1" applyAlignment="1">
      <alignment vertical="center"/>
    </xf>
    <xf numFmtId="191" fontId="3" fillId="0" borderId="0" xfId="0" applyNumberFormat="1" applyFont="1"/>
    <xf numFmtId="191" fontId="5" fillId="0" borderId="0" xfId="0" applyNumberFormat="1" applyFont="1"/>
    <xf numFmtId="179" fontId="5" fillId="0" borderId="0" xfId="0" applyNumberFormat="1" applyFont="1" applyAlignment="1">
      <alignment horizontal="right" vertical="center"/>
    </xf>
    <xf numFmtId="3" fontId="3" fillId="0" borderId="0" xfId="0" quotePrefix="1" applyNumberFormat="1" applyFont="1"/>
    <xf numFmtId="190" fontId="3" fillId="0" borderId="0" xfId="0" applyNumberFormat="1" applyFont="1"/>
    <xf numFmtId="1" fontId="3" fillId="0" borderId="0" xfId="0" applyNumberFormat="1" applyFont="1" applyAlignment="1">
      <alignment horizontal="center" vertical="center"/>
    </xf>
    <xf numFmtId="199" fontId="3" fillId="0" borderId="0" xfId="0" applyNumberFormat="1" applyFont="1" applyAlignment="1">
      <alignment horizontal="right"/>
    </xf>
    <xf numFmtId="49" fontId="3" fillId="0" borderId="0" xfId="0" applyNumberFormat="1" applyFont="1"/>
    <xf numFmtId="179" fontId="3" fillId="0" borderId="0" xfId="0" applyNumberFormat="1" applyFont="1" applyAlignment="1">
      <alignment horizontal="right"/>
    </xf>
    <xf numFmtId="2" fontId="5" fillId="0" borderId="0" xfId="0" applyNumberFormat="1" applyFont="1"/>
    <xf numFmtId="179" fontId="5" fillId="0" borderId="0" xfId="0" applyNumberFormat="1" applyFont="1"/>
    <xf numFmtId="178" fontId="3" fillId="0" borderId="0" xfId="0" applyNumberFormat="1" applyFont="1"/>
    <xf numFmtId="0" fontId="8" fillId="0" borderId="0" xfId="0" applyFont="1"/>
    <xf numFmtId="0" fontId="3" fillId="0" borderId="0" xfId="0" quotePrefix="1" applyFont="1"/>
    <xf numFmtId="177" fontId="3" fillId="0" borderId="1" xfId="0" applyNumberFormat="1" applyFont="1" applyBorder="1"/>
    <xf numFmtId="179" fontId="3" fillId="0" borderId="1" xfId="0" applyNumberFormat="1" applyFont="1" applyBorder="1"/>
    <xf numFmtId="2" fontId="3" fillId="0" borderId="1" xfId="0" applyNumberFormat="1" applyFont="1" applyBorder="1"/>
    <xf numFmtId="4" fontId="4" fillId="0" borderId="0" xfId="0" applyNumberFormat="1" applyFont="1" applyAlignment="1">
      <alignment horizontal="right" vertical="center"/>
    </xf>
    <xf numFmtId="2" fontId="4" fillId="0" borderId="1" xfId="0" applyNumberFormat="1" applyFont="1" applyBorder="1"/>
    <xf numFmtId="1" fontId="3" fillId="0" borderId="0" xfId="0" applyNumberFormat="1" applyFont="1"/>
    <xf numFmtId="4" fontId="4" fillId="0" borderId="0" xfId="0" applyNumberFormat="1" applyFont="1" applyAlignment="1">
      <alignment vertical="center"/>
    </xf>
    <xf numFmtId="0" fontId="3" fillId="0" borderId="1" xfId="0" applyFont="1" applyBorder="1"/>
    <xf numFmtId="4" fontId="4" fillId="0" borderId="1" xfId="0" applyNumberFormat="1" applyFont="1" applyBorder="1" applyAlignment="1">
      <alignment vertical="center"/>
    </xf>
    <xf numFmtId="177" fontId="3" fillId="0" borderId="0" xfId="0" applyNumberFormat="1" applyFont="1" applyAlignment="1">
      <alignment vertical="center"/>
    </xf>
    <xf numFmtId="181" fontId="3" fillId="0" borderId="0" xfId="0" applyNumberFormat="1" applyFont="1" applyAlignment="1">
      <alignment vertical="center"/>
    </xf>
    <xf numFmtId="0" fontId="8" fillId="0" borderId="0" xfId="0" applyFont="1" applyAlignment="1">
      <alignment horizontal="center"/>
    </xf>
    <xf numFmtId="191" fontId="8" fillId="0" borderId="0" xfId="0" applyNumberFormat="1" applyFont="1"/>
    <xf numFmtId="177" fontId="8" fillId="0" borderId="0" xfId="0" applyNumberFormat="1" applyFont="1"/>
    <xf numFmtId="179" fontId="8" fillId="0" borderId="0" xfId="0" applyNumberFormat="1" applyFont="1"/>
    <xf numFmtId="191" fontId="9" fillId="0" borderId="0" xfId="0" applyNumberFormat="1" applyFont="1"/>
    <xf numFmtId="2" fontId="8" fillId="0" borderId="0" xfId="0" applyNumberFormat="1" applyFont="1"/>
    <xf numFmtId="179" fontId="8" fillId="0" borderId="0" xfId="0" applyNumberFormat="1" applyFont="1" applyAlignment="1">
      <alignment horizontal="right" vertical="center"/>
    </xf>
    <xf numFmtId="3" fontId="8" fillId="0" borderId="0" xfId="0" quotePrefix="1" applyNumberFormat="1" applyFont="1"/>
    <xf numFmtId="190" fontId="8" fillId="0" borderId="0" xfId="0" applyNumberFormat="1" applyFont="1"/>
    <xf numFmtId="0" fontId="7" fillId="0" borderId="0" xfId="0" applyFont="1"/>
    <xf numFmtId="1" fontId="8" fillId="0" borderId="0" xfId="0" applyNumberFormat="1" applyFont="1" applyAlignment="1">
      <alignment horizontal="center"/>
    </xf>
    <xf numFmtId="0" fontId="8" fillId="0" borderId="0" xfId="0" applyFont="1" applyAlignment="1">
      <alignment horizontal="right"/>
    </xf>
    <xf numFmtId="49" fontId="8" fillId="0" borderId="0" xfId="0" applyNumberFormat="1" applyFont="1"/>
    <xf numFmtId="177" fontId="8" fillId="0" borderId="1" xfId="0" applyNumberFormat="1" applyFont="1" applyBorder="1"/>
    <xf numFmtId="179" fontId="8" fillId="0" borderId="1" xfId="0" applyNumberFormat="1" applyFont="1" applyBorder="1"/>
    <xf numFmtId="191" fontId="9" fillId="0" borderId="1" xfId="0" applyNumberFormat="1" applyFont="1" applyBorder="1"/>
    <xf numFmtId="2" fontId="8" fillId="0" borderId="1" xfId="0" applyNumberFormat="1" applyFont="1" applyBorder="1"/>
    <xf numFmtId="179" fontId="4" fillId="0" borderId="0" xfId="0" applyNumberFormat="1" applyFont="1" applyAlignment="1">
      <alignment vertical="center"/>
    </xf>
    <xf numFmtId="179" fontId="4" fillId="0" borderId="0" xfId="0" applyNumberFormat="1" applyFont="1" applyAlignment="1">
      <alignment horizontal="right" vertical="center"/>
    </xf>
    <xf numFmtId="184" fontId="3" fillId="0" borderId="0" xfId="0" applyNumberFormat="1" applyFont="1"/>
    <xf numFmtId="0" fontId="3" fillId="2" borderId="0" xfId="0" applyFont="1" applyFill="1"/>
    <xf numFmtId="190" fontId="7" fillId="0" borderId="0" xfId="0" applyNumberFormat="1" applyFont="1" applyAlignment="1">
      <alignment vertical="center"/>
    </xf>
    <xf numFmtId="190" fontId="44" fillId="0" borderId="0" xfId="1" applyNumberFormat="1" applyFont="1">
      <alignment vertical="center"/>
    </xf>
    <xf numFmtId="190" fontId="7" fillId="2" borderId="0" xfId="0" applyNumberFormat="1" applyFont="1" applyFill="1" applyAlignment="1">
      <alignment vertical="center"/>
    </xf>
    <xf numFmtId="190" fontId="9" fillId="0" borderId="0" xfId="0" applyNumberFormat="1" applyFont="1"/>
    <xf numFmtId="2" fontId="3" fillId="0" borderId="1" xfId="0" applyNumberFormat="1" applyFont="1" applyFill="1" applyBorder="1"/>
    <xf numFmtId="179" fontId="7" fillId="0" borderId="0" xfId="0" applyNumberFormat="1" applyFont="1" applyAlignment="1">
      <alignment horizontal="right"/>
    </xf>
    <xf numFmtId="179" fontId="8" fillId="0" borderId="0" xfId="0" applyNumberFormat="1" applyFont="1" applyBorder="1"/>
    <xf numFmtId="0" fontId="8" fillId="0" borderId="0" xfId="0" applyFont="1" applyAlignment="1"/>
    <xf numFmtId="191" fontId="8" fillId="0" borderId="0" xfId="0" applyNumberFormat="1" applyFont="1" applyBorder="1"/>
    <xf numFmtId="177" fontId="8" fillId="0" borderId="0" xfId="0" applyNumberFormat="1" applyFont="1" applyBorder="1"/>
    <xf numFmtId="0" fontId="8" fillId="0" borderId="0" xfId="0" applyFont="1" applyBorder="1"/>
    <xf numFmtId="0" fontId="8" fillId="0" borderId="0" xfId="0" applyFont="1" applyBorder="1" applyAlignment="1"/>
    <xf numFmtId="191" fontId="9" fillId="0" borderId="0" xfId="0" applyNumberFormat="1" applyFont="1" applyBorder="1"/>
    <xf numFmtId="179" fontId="3" fillId="0" borderId="0" xfId="0" applyNumberFormat="1" applyFont="1" applyBorder="1"/>
    <xf numFmtId="2" fontId="8" fillId="0" borderId="0" xfId="0" applyNumberFormat="1" applyFont="1" applyBorder="1"/>
    <xf numFmtId="179" fontId="7" fillId="0" borderId="0" xfId="0" applyNumberFormat="1" applyFont="1" applyBorder="1" applyAlignment="1">
      <alignment horizontal="right"/>
    </xf>
    <xf numFmtId="2" fontId="4" fillId="0" borderId="0" xfId="0" applyNumberFormat="1" applyFont="1" applyBorder="1"/>
    <xf numFmtId="179" fontId="8" fillId="0" borderId="0" xfId="0" applyNumberFormat="1" applyFont="1" applyBorder="1" applyAlignment="1">
      <alignment horizontal="right" vertical="center"/>
    </xf>
    <xf numFmtId="49" fontId="8" fillId="0" borderId="0" xfId="0" applyNumberFormat="1" applyFont="1" applyBorder="1"/>
    <xf numFmtId="0" fontId="5" fillId="0" borderId="0" xfId="0" applyFont="1" applyAlignment="1">
      <alignment vertical="center"/>
    </xf>
    <xf numFmtId="0" fontId="3" fillId="0" borderId="0" xfId="0" applyFont="1" applyFill="1"/>
    <xf numFmtId="0" fontId="3" fillId="0" borderId="0" xfId="0" applyFont="1" applyFill="1" applyAlignment="1">
      <alignment horizontal="right"/>
    </xf>
    <xf numFmtId="183" fontId="3" fillId="0" borderId="0" xfId="0" applyNumberFormat="1" applyFont="1" applyFill="1" applyAlignment="1">
      <alignment vertical="center"/>
    </xf>
    <xf numFmtId="183" fontId="3" fillId="0" borderId="1" xfId="0" applyNumberFormat="1" applyFont="1" applyFill="1" applyBorder="1" applyAlignment="1">
      <alignment vertical="center"/>
    </xf>
    <xf numFmtId="1" fontId="3" fillId="0" borderId="0" xfId="0" applyNumberFormat="1" applyFont="1" applyFill="1"/>
    <xf numFmtId="183" fontId="3" fillId="0" borderId="0" xfId="0" applyNumberFormat="1" applyFont="1" applyFill="1" applyBorder="1" applyAlignment="1">
      <alignment vertical="center"/>
    </xf>
    <xf numFmtId="191" fontId="3" fillId="0" borderId="0" xfId="0" applyNumberFormat="1" applyFont="1" applyFill="1"/>
    <xf numFmtId="183" fontId="3" fillId="0" borderId="0" xfId="0" applyNumberFormat="1" applyFont="1" applyFill="1"/>
    <xf numFmtId="190" fontId="8" fillId="0" borderId="0" xfId="0" applyNumberFormat="1" applyFont="1" applyBorder="1"/>
    <xf numFmtId="190" fontId="7" fillId="0" borderId="0" xfId="0" applyNumberFormat="1" applyFont="1" applyBorder="1" applyAlignment="1">
      <alignment horizontal="right"/>
    </xf>
    <xf numFmtId="190" fontId="8" fillId="0" borderId="1" xfId="0" applyNumberFormat="1" applyFont="1" applyBorder="1"/>
    <xf numFmtId="183" fontId="5" fillId="0" borderId="0" xfId="0" applyNumberFormat="1" applyFont="1" applyFill="1"/>
    <xf numFmtId="0" fontId="9" fillId="0" borderId="0" xfId="0" applyFont="1"/>
    <xf numFmtId="184" fontId="5" fillId="0" borderId="0" xfId="0" applyNumberFormat="1" applyFont="1" applyFill="1"/>
    <xf numFmtId="182" fontId="5" fillId="0" borderId="0" xfId="0" applyNumberFormat="1" applyFont="1" applyFill="1"/>
    <xf numFmtId="179" fontId="7" fillId="0" borderId="0" xfId="0" applyNumberFormat="1" applyFont="1" applyAlignment="1">
      <alignment vertical="center"/>
    </xf>
    <xf numFmtId="179" fontId="9" fillId="0" borderId="0" xfId="0" applyNumberFormat="1" applyFont="1" applyAlignment="1">
      <alignment horizontal="right" vertical="center"/>
    </xf>
    <xf numFmtId="0" fontId="8" fillId="0" borderId="1" xfId="0" applyFont="1" applyBorder="1" applyAlignment="1">
      <alignment horizontal="right"/>
    </xf>
    <xf numFmtId="181" fontId="44" fillId="0" borderId="0" xfId="0" applyNumberFormat="1" applyFont="1" applyFill="1"/>
    <xf numFmtId="176" fontId="3" fillId="0" borderId="0" xfId="0" applyNumberFormat="1" applyFont="1"/>
    <xf numFmtId="0" fontId="3" fillId="0" borderId="0" xfId="0" quotePrefix="1" applyFont="1" applyAlignment="1">
      <alignment horizontal="center" vertical="center"/>
    </xf>
    <xf numFmtId="190" fontId="7" fillId="0" borderId="0" xfId="0" applyNumberFormat="1" applyFont="1" applyAlignment="1">
      <alignment horizontal="right"/>
    </xf>
    <xf numFmtId="190" fontId="8" fillId="0" borderId="0" xfId="0" applyNumberFormat="1" applyFont="1" applyAlignment="1">
      <alignment horizontal="right" vertical="center"/>
    </xf>
    <xf numFmtId="2" fontId="45" fillId="0" borderId="0" xfId="0" applyNumberFormat="1" applyFont="1"/>
    <xf numFmtId="0" fontId="8" fillId="0" borderId="0" xfId="0" quotePrefix="1" applyFont="1"/>
    <xf numFmtId="2" fontId="45" fillId="0" borderId="0" xfId="0" applyNumberFormat="1" applyFont="1" applyAlignment="1">
      <alignment horizontal="right"/>
    </xf>
    <xf numFmtId="1" fontId="45" fillId="0" borderId="0" xfId="0" applyNumberFormat="1" applyFont="1"/>
    <xf numFmtId="1" fontId="45" fillId="0" borderId="0" xfId="0" applyNumberFormat="1" applyFont="1" applyAlignment="1">
      <alignment horizontal="right"/>
    </xf>
    <xf numFmtId="0" fontId="5" fillId="0" borderId="0" xfId="0" applyFont="1" applyFill="1" applyAlignment="1">
      <alignment horizontal="center" vertical="center"/>
    </xf>
    <xf numFmtId="0" fontId="8" fillId="0" borderId="0" xfId="0" applyFont="1" applyFill="1" applyAlignment="1"/>
    <xf numFmtId="0" fontId="8" fillId="0" borderId="0" xfId="0" applyFont="1" applyFill="1" applyAlignment="1">
      <alignment horizontal="center"/>
    </xf>
    <xf numFmtId="0" fontId="8" fillId="0" borderId="0" xfId="0" applyFont="1" applyFill="1"/>
    <xf numFmtId="0" fontId="3" fillId="0" borderId="0" xfId="0" applyFont="1" applyAlignment="1">
      <alignment horizontal="center" vertical="center"/>
    </xf>
    <xf numFmtId="181" fontId="5" fillId="0" borderId="0" xfId="0" applyNumberFormat="1" applyFont="1" applyFill="1"/>
    <xf numFmtId="0" fontId="3" fillId="3" borderId="0" xfId="0" quotePrefix="1" applyFont="1" applyFill="1" applyAlignment="1">
      <alignment horizontal="center" vertical="center"/>
    </xf>
    <xf numFmtId="0" fontId="3" fillId="3" borderId="0" xfId="0" quotePrefix="1" applyFont="1" applyFill="1" applyAlignment="1">
      <alignment vertical="center"/>
    </xf>
    <xf numFmtId="181" fontId="9" fillId="0" borderId="0" xfId="0" applyNumberFormat="1" applyFont="1" applyFill="1"/>
    <xf numFmtId="183" fontId="8" fillId="0" borderId="0" xfId="0" applyNumberFormat="1" applyFont="1" applyFill="1" applyAlignment="1">
      <alignment vertical="center"/>
    </xf>
    <xf numFmtId="179" fontId="8" fillId="0" borderId="1" xfId="0" applyNumberFormat="1" applyFont="1" applyBorder="1" applyAlignment="1">
      <alignment horizontal="right" vertical="center"/>
    </xf>
    <xf numFmtId="9" fontId="8" fillId="0" borderId="0" xfId="0" quotePrefix="1" applyNumberFormat="1" applyFont="1" applyBorder="1" applyAlignment="1">
      <alignment horizontal="right"/>
    </xf>
    <xf numFmtId="181" fontId="3" fillId="0" borderId="0" xfId="0" applyNumberFormat="1" applyFont="1" applyFill="1" applyAlignment="1">
      <alignment vertical="center"/>
    </xf>
    <xf numFmtId="2" fontId="7" fillId="0" borderId="0" xfId="0" applyNumberFormat="1" applyFont="1"/>
    <xf numFmtId="0" fontId="19" fillId="0" borderId="0" xfId="0" applyFont="1" applyFill="1" applyAlignment="1">
      <alignment horizontal="right"/>
    </xf>
    <xf numFmtId="176" fontId="45" fillId="0" borderId="0" xfId="0" applyNumberFormat="1" applyFont="1"/>
    <xf numFmtId="0" fontId="45" fillId="0" borderId="0" xfId="0" applyFont="1"/>
    <xf numFmtId="2" fontId="3" fillId="0" borderId="0" xfId="0" applyNumberFormat="1" applyFont="1" applyAlignment="1">
      <alignment horizontal="right"/>
    </xf>
    <xf numFmtId="4" fontId="23" fillId="0" borderId="0" xfId="0" applyNumberFormat="1" applyFont="1" applyAlignment="1">
      <alignment horizontal="center" vertical="center"/>
    </xf>
    <xf numFmtId="4" fontId="23" fillId="0" borderId="0" xfId="0" applyNumberFormat="1" applyFont="1" applyAlignment="1">
      <alignment horizontal="left" vertical="center"/>
    </xf>
    <xf numFmtId="0" fontId="24" fillId="0" borderId="0" xfId="0" applyFont="1" applyAlignment="1">
      <alignment vertical="center"/>
    </xf>
    <xf numFmtId="0" fontId="3" fillId="0" borderId="0" xfId="0" quotePrefix="1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8" fillId="0" borderId="0" xfId="0" quotePrefix="1" applyFont="1" applyFill="1" applyAlignment="1"/>
    <xf numFmtId="190" fontId="4" fillId="0" borderId="0" xfId="0" applyNumberFormat="1" applyFont="1"/>
    <xf numFmtId="0" fontId="3" fillId="0" borderId="1" xfId="0" quotePrefix="1" applyFont="1" applyFill="1" applyBorder="1" applyAlignment="1">
      <alignment horizontal="right"/>
    </xf>
    <xf numFmtId="176" fontId="4" fillId="0" borderId="0" xfId="0" applyNumberFormat="1" applyFont="1"/>
    <xf numFmtId="0" fontId="9" fillId="0" borderId="0" xfId="0" applyFont="1" applyFill="1" applyAlignment="1">
      <alignment horizontal="center" vertical="center"/>
    </xf>
    <xf numFmtId="2" fontId="4" fillId="0" borderId="0" xfId="0" applyNumberFormat="1" applyFont="1" applyFill="1"/>
    <xf numFmtId="0" fontId="3" fillId="0" borderId="1" xfId="0" applyFont="1" applyFill="1" applyBorder="1" applyAlignment="1">
      <alignment horizontal="right"/>
    </xf>
    <xf numFmtId="179" fontId="9" fillId="0" borderId="0" xfId="0" applyNumberFormat="1" applyFont="1" applyAlignment="1">
      <alignment vertical="center"/>
    </xf>
    <xf numFmtId="190" fontId="30" fillId="0" borderId="0" xfId="1" applyNumberFormat="1" applyFont="1" applyAlignment="1">
      <alignment horizontal="right" vertical="center"/>
    </xf>
    <xf numFmtId="0" fontId="31" fillId="0" borderId="0" xfId="0" applyFont="1"/>
    <xf numFmtId="0" fontId="33" fillId="0" borderId="0" xfId="0" applyFont="1"/>
    <xf numFmtId="179" fontId="8" fillId="0" borderId="0" xfId="0" applyNumberFormat="1" applyFont="1" applyBorder="1" applyAlignment="1">
      <alignment vertical="center"/>
    </xf>
    <xf numFmtId="179" fontId="35" fillId="0" borderId="1" xfId="0" applyNumberFormat="1" applyFont="1" applyBorder="1" applyAlignment="1">
      <alignment horizontal="right" vertical="center"/>
    </xf>
    <xf numFmtId="0" fontId="36" fillId="0" borderId="0" xfId="0" applyFont="1" applyAlignment="1">
      <alignment vertical="center"/>
    </xf>
    <xf numFmtId="2" fontId="3" fillId="0" borderId="0" xfId="0" applyNumberFormat="1" applyFont="1" applyBorder="1"/>
    <xf numFmtId="0" fontId="38" fillId="0" borderId="0" xfId="0" applyFont="1" applyAlignment="1">
      <alignment vertical="center"/>
    </xf>
    <xf numFmtId="0" fontId="39" fillId="0" borderId="0" xfId="0" applyFont="1" applyAlignment="1">
      <alignment vertical="center"/>
    </xf>
    <xf numFmtId="0" fontId="41" fillId="0" borderId="0" xfId="0" applyFont="1" applyAlignment="1">
      <alignment vertical="center"/>
    </xf>
    <xf numFmtId="0" fontId="40" fillId="0" borderId="0" xfId="0" applyFont="1" applyFill="1" applyAlignment="1">
      <alignment horizontal="center" vertical="center"/>
    </xf>
    <xf numFmtId="191" fontId="5" fillId="0" borderId="1" xfId="0" applyNumberFormat="1" applyFont="1" applyBorder="1"/>
    <xf numFmtId="0" fontId="42" fillId="0" borderId="0" xfId="0" applyFont="1" applyFill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42" fillId="0" borderId="0" xfId="0" applyFont="1" applyAlignment="1">
      <alignment vertical="center"/>
    </xf>
    <xf numFmtId="183" fontId="42" fillId="0" borderId="0" xfId="0" applyNumberFormat="1" applyFont="1" applyFill="1" applyAlignment="1">
      <alignment vertical="center"/>
    </xf>
    <xf numFmtId="0" fontId="42" fillId="0" borderId="0" xfId="0" applyFont="1"/>
    <xf numFmtId="181" fontId="42" fillId="0" borderId="0" xfId="0" applyNumberFormat="1" applyFont="1" applyFill="1" applyAlignment="1">
      <alignment vertical="center"/>
    </xf>
    <xf numFmtId="181" fontId="42" fillId="0" borderId="0" xfId="0" applyNumberFormat="1" applyFont="1"/>
    <xf numFmtId="181" fontId="43" fillId="0" borderId="0" xfId="0" applyNumberFormat="1" applyFont="1" applyAlignment="1">
      <alignment vertical="center"/>
    </xf>
    <xf numFmtId="181" fontId="43" fillId="0" borderId="0" xfId="0" applyNumberFormat="1" applyFont="1"/>
    <xf numFmtId="1" fontId="42" fillId="0" borderId="0" xfId="0" applyNumberFormat="1" applyFont="1" applyAlignment="1">
      <alignment horizontal="center" vertical="center"/>
    </xf>
    <xf numFmtId="2" fontId="3" fillId="0" borderId="0" xfId="0" applyNumberFormat="1" applyFont="1" applyFill="1"/>
    <xf numFmtId="2" fontId="4" fillId="2" borderId="0" xfId="0" applyNumberFormat="1" applyFont="1" applyFill="1"/>
    <xf numFmtId="0" fontId="5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4" fontId="4" fillId="0" borderId="0" xfId="0" applyNumberFormat="1" applyFont="1" applyFill="1" applyAlignment="1">
      <alignment vertical="center"/>
    </xf>
    <xf numFmtId="0" fontId="15" fillId="0" borderId="0" xfId="0" applyFont="1" applyFill="1"/>
    <xf numFmtId="0" fontId="3" fillId="0" borderId="0" xfId="0" applyFont="1" applyAlignment="1">
      <alignment horizontal="center" vertical="center"/>
    </xf>
    <xf numFmtId="0" fontId="46" fillId="0" borderId="0" xfId="0" applyFont="1"/>
  </cellXfs>
  <cellStyles count="2">
    <cellStyle name="常规" xfId="0" builtinId="0"/>
    <cellStyle name="常规 2" xfId="1" xr:uid="{1F18CAB8-18AD-41F2-A737-281EB46AA5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6FFFF-4A15-4512-A7C2-4C185D64C600}">
  <dimension ref="A1:AC230"/>
  <sheetViews>
    <sheetView tabSelected="1" workbookViewId="0">
      <pane ySplit="3" topLeftCell="A4" activePane="bottomLeft" state="frozen"/>
      <selection pane="bottomLeft" activeCell="C4" sqref="C4"/>
    </sheetView>
  </sheetViews>
  <sheetFormatPr defaultColWidth="9" defaultRowHeight="15.65" customHeight="1" x14ac:dyDescent="0.25"/>
  <cols>
    <col min="1" max="1" width="12.6640625" style="1" customWidth="1"/>
    <col min="2" max="2" width="12.33203125" style="76" customWidth="1"/>
    <col min="3" max="3" width="12.33203125" style="1" customWidth="1"/>
    <col min="4" max="4" width="11.33203125" style="1" customWidth="1"/>
    <col min="5" max="5" width="7.25" style="76" customWidth="1"/>
    <col min="6" max="6" width="6.83203125" style="76" customWidth="1"/>
    <col min="7" max="7" width="4.83203125" style="1" customWidth="1"/>
    <col min="8" max="8" width="6.08203125" style="1" customWidth="1"/>
    <col min="9" max="9" width="4.5" style="1" customWidth="1"/>
    <col min="10" max="10" width="5.58203125" style="1" customWidth="1"/>
    <col min="11" max="11" width="4.5" style="1" customWidth="1"/>
    <col min="12" max="13" width="6.33203125" style="1" customWidth="1"/>
    <col min="14" max="14" width="5.58203125" style="1" customWidth="1"/>
    <col min="15" max="15" width="5.33203125" style="1" customWidth="1"/>
    <col min="16" max="16" width="7.83203125" style="1" customWidth="1"/>
    <col min="17" max="17" width="6.5" style="2" customWidth="1"/>
    <col min="18" max="18" width="9.4140625" style="2" customWidth="1"/>
    <col min="19" max="19" width="7.83203125" style="2" customWidth="1"/>
    <col min="20" max="20" width="6.08203125" style="1" customWidth="1"/>
    <col min="21" max="21" width="8.58203125" style="1" customWidth="1"/>
    <col min="22" max="22" width="6.6640625" style="1" customWidth="1"/>
    <col min="23" max="23" width="7.58203125" style="1" customWidth="1"/>
    <col min="24" max="24" width="7.33203125" style="1" customWidth="1"/>
    <col min="25" max="25" width="8.33203125" style="1" customWidth="1"/>
    <col min="26" max="26" width="6" style="3" customWidth="1"/>
    <col min="27" max="27" width="8.58203125" style="1" customWidth="1"/>
    <col min="28" max="28" width="9" style="1" customWidth="1"/>
    <col min="29" max="29" width="15.58203125" style="1" customWidth="1"/>
    <col min="30" max="16384" width="9" style="1"/>
  </cols>
  <sheetData>
    <row r="1" spans="1:29" ht="15.65" customHeight="1" x14ac:dyDescent="0.25">
      <c r="Q1" s="137" t="s">
        <v>342</v>
      </c>
    </row>
    <row r="2" spans="1:29" ht="15.65" customHeight="1" x14ac:dyDescent="0.25">
      <c r="F2" s="162" t="s">
        <v>382</v>
      </c>
      <c r="G2" s="1" t="s">
        <v>0</v>
      </c>
      <c r="L2" s="1" t="s">
        <v>53</v>
      </c>
      <c r="N2" s="1" t="s">
        <v>54</v>
      </c>
      <c r="S2" s="136" t="s">
        <v>340</v>
      </c>
    </row>
    <row r="3" spans="1:29" ht="15.65" customHeight="1" x14ac:dyDescent="0.25">
      <c r="A3" s="1" t="s">
        <v>243</v>
      </c>
      <c r="B3" s="76" t="s">
        <v>244</v>
      </c>
      <c r="C3" s="164" t="s">
        <v>398</v>
      </c>
      <c r="D3" s="1" t="s">
        <v>245</v>
      </c>
      <c r="E3" s="77" t="s">
        <v>246</v>
      </c>
      <c r="F3" s="118"/>
      <c r="G3" s="1" t="s">
        <v>55</v>
      </c>
      <c r="H3" s="1" t="s">
        <v>56</v>
      </c>
      <c r="I3" s="1" t="s">
        <v>57</v>
      </c>
      <c r="J3" s="1" t="s">
        <v>58</v>
      </c>
      <c r="K3" s="1" t="s">
        <v>59</v>
      </c>
      <c r="L3" s="1" t="s">
        <v>55</v>
      </c>
      <c r="M3" s="1" t="s">
        <v>60</v>
      </c>
      <c r="N3" s="1" t="s">
        <v>61</v>
      </c>
      <c r="P3" s="1" t="s">
        <v>62</v>
      </c>
      <c r="Q3" s="2" t="s">
        <v>339</v>
      </c>
      <c r="R3" s="2" t="s">
        <v>64</v>
      </c>
      <c r="S3" s="2" t="s">
        <v>63</v>
      </c>
      <c r="T3" s="1" t="s">
        <v>247</v>
      </c>
      <c r="U3" s="1" t="s">
        <v>248</v>
      </c>
      <c r="V3" s="4"/>
      <c r="W3" s="120" t="s">
        <v>326</v>
      </c>
      <c r="X3" s="1" t="s">
        <v>249</v>
      </c>
      <c r="Y3" s="1" t="s">
        <v>250</v>
      </c>
      <c r="Z3" s="3" t="s">
        <v>251</v>
      </c>
      <c r="AA3" s="3" t="s">
        <v>252</v>
      </c>
      <c r="AC3" s="1" t="s">
        <v>253</v>
      </c>
    </row>
    <row r="4" spans="1:29" ht="15.65" customHeight="1" x14ac:dyDescent="0.25">
      <c r="A4" s="3" t="s">
        <v>254</v>
      </c>
      <c r="C4" s="76"/>
      <c r="S4" s="2" t="s">
        <v>323</v>
      </c>
      <c r="T4" s="2" t="s">
        <v>255</v>
      </c>
      <c r="W4" s="120"/>
    </row>
    <row r="5" spans="1:29" ht="15.65" customHeight="1" x14ac:dyDescent="0.25">
      <c r="A5" s="9" t="s">
        <v>256</v>
      </c>
      <c r="B5" s="104" t="s">
        <v>65</v>
      </c>
      <c r="C5" s="125" t="s">
        <v>202</v>
      </c>
      <c r="D5" s="1" t="s">
        <v>257</v>
      </c>
      <c r="E5" s="78"/>
      <c r="F5" s="78"/>
      <c r="G5" s="1">
        <v>168</v>
      </c>
      <c r="H5" s="5">
        <f t="shared" ref="H5:H13" si="0">E5/G5</f>
        <v>0</v>
      </c>
      <c r="I5" s="6">
        <v>0.4</v>
      </c>
      <c r="J5" s="6">
        <v>0.3</v>
      </c>
      <c r="K5" s="1">
        <v>0.21</v>
      </c>
      <c r="L5" s="1">
        <v>19.5</v>
      </c>
      <c r="M5" s="6">
        <f t="shared" ref="M5:M13" si="1">H5*I5*J5*K5</f>
        <v>0</v>
      </c>
      <c r="P5" s="7">
        <f t="shared" ref="P5:P13" si="2">H5*L5</f>
        <v>0</v>
      </c>
      <c r="Q5" s="56">
        <v>0.40300000000000002</v>
      </c>
      <c r="R5" s="8">
        <f t="shared" ref="R5:R13" si="3">E5*Q5</f>
        <v>0</v>
      </c>
      <c r="S5" s="56">
        <v>0.47399999999999998</v>
      </c>
      <c r="T5" s="6">
        <v>2</v>
      </c>
      <c r="U5" s="7">
        <f t="shared" ref="U5:U13" si="4">E5*T5</f>
        <v>0</v>
      </c>
      <c r="W5" s="119">
        <f>T5*1.17*1.18</f>
        <v>2.7611999999999997</v>
      </c>
      <c r="X5" s="7">
        <f t="shared" ref="X5:X36" si="5">E5*W5</f>
        <v>0</v>
      </c>
    </row>
    <row r="6" spans="1:29" ht="15.65" customHeight="1" x14ac:dyDescent="0.25">
      <c r="A6" s="9"/>
      <c r="B6" s="159" t="s">
        <v>1</v>
      </c>
      <c r="C6" s="125" t="s">
        <v>146</v>
      </c>
      <c r="D6" s="9" t="s">
        <v>258</v>
      </c>
      <c r="E6" s="78"/>
      <c r="F6" s="78"/>
      <c r="G6" s="10">
        <v>108</v>
      </c>
      <c r="H6" s="5">
        <f t="shared" si="0"/>
        <v>0</v>
      </c>
      <c r="I6" s="1">
        <v>0.77</v>
      </c>
      <c r="J6" s="1">
        <v>0.37</v>
      </c>
      <c r="K6" s="1">
        <v>0.23</v>
      </c>
      <c r="L6" s="1">
        <v>23.5</v>
      </c>
      <c r="M6" s="6">
        <f t="shared" si="1"/>
        <v>0</v>
      </c>
      <c r="N6" s="11">
        <v>1296</v>
      </c>
      <c r="O6" s="6">
        <f t="shared" ref="O6:O13" si="6">E6/N6</f>
        <v>0</v>
      </c>
      <c r="P6" s="7">
        <f t="shared" si="2"/>
        <v>0</v>
      </c>
      <c r="Q6" s="56">
        <v>0.52400000000000002</v>
      </c>
      <c r="R6" s="8">
        <f>E6*Q6</f>
        <v>0</v>
      </c>
      <c r="S6" s="56">
        <v>0.61599999999999999</v>
      </c>
      <c r="T6" s="12">
        <v>2.7</v>
      </c>
      <c r="U6" s="7">
        <f t="shared" si="4"/>
        <v>0</v>
      </c>
      <c r="V6" s="13"/>
      <c r="W6" s="119">
        <f t="shared" ref="W6:W69" si="7">T6*1.17*1.18</f>
        <v>3.7276199999999995</v>
      </c>
      <c r="X6" s="7">
        <f t="shared" si="5"/>
        <v>0</v>
      </c>
      <c r="AC6" s="15">
        <v>8423224784556</v>
      </c>
    </row>
    <row r="7" spans="1:29" ht="15.65" customHeight="1" x14ac:dyDescent="0.25">
      <c r="A7" s="9"/>
      <c r="B7" s="104" t="s">
        <v>2</v>
      </c>
      <c r="C7" s="125" t="s">
        <v>204</v>
      </c>
      <c r="D7" s="9" t="s">
        <v>259</v>
      </c>
      <c r="E7" s="78"/>
      <c r="F7" s="78"/>
      <c r="G7" s="10">
        <v>108</v>
      </c>
      <c r="H7" s="5">
        <f t="shared" si="0"/>
        <v>0</v>
      </c>
      <c r="I7" s="1">
        <v>0.77</v>
      </c>
      <c r="J7" s="1">
        <v>0.37</v>
      </c>
      <c r="K7" s="1">
        <v>0.23</v>
      </c>
      <c r="L7" s="1">
        <v>23.5</v>
      </c>
      <c r="M7" s="6">
        <f t="shared" si="1"/>
        <v>0</v>
      </c>
      <c r="N7" s="11">
        <v>1296</v>
      </c>
      <c r="O7" s="6">
        <f t="shared" si="6"/>
        <v>0</v>
      </c>
      <c r="P7" s="7">
        <f t="shared" si="2"/>
        <v>0</v>
      </c>
      <c r="Q7" s="56"/>
      <c r="R7" s="8">
        <f t="shared" si="3"/>
        <v>0</v>
      </c>
      <c r="S7" s="56">
        <v>0.61599999999999999</v>
      </c>
      <c r="T7" s="16">
        <v>2.7</v>
      </c>
      <c r="U7" s="7">
        <f t="shared" si="4"/>
        <v>0</v>
      </c>
      <c r="V7" s="4"/>
      <c r="W7" s="119">
        <f t="shared" si="7"/>
        <v>3.7276199999999995</v>
      </c>
      <c r="X7" s="7">
        <f t="shared" si="5"/>
        <v>0</v>
      </c>
      <c r="AC7" s="15">
        <v>8423224784563</v>
      </c>
    </row>
    <row r="8" spans="1:29" ht="15.65" customHeight="1" x14ac:dyDescent="0.25">
      <c r="A8" s="9"/>
      <c r="B8" s="159" t="s">
        <v>3</v>
      </c>
      <c r="C8" s="125" t="s">
        <v>147</v>
      </c>
      <c r="D8" s="9" t="s">
        <v>260</v>
      </c>
      <c r="E8" s="78"/>
      <c r="F8" s="78"/>
      <c r="G8" s="10">
        <v>108</v>
      </c>
      <c r="H8" s="5">
        <f t="shared" si="0"/>
        <v>0</v>
      </c>
      <c r="I8" s="1">
        <v>0.77</v>
      </c>
      <c r="J8" s="1">
        <v>0.37</v>
      </c>
      <c r="K8" s="1">
        <v>0.23</v>
      </c>
      <c r="L8" s="1">
        <v>23.5</v>
      </c>
      <c r="M8" s="6">
        <f t="shared" si="1"/>
        <v>0</v>
      </c>
      <c r="N8" s="11">
        <v>1296</v>
      </c>
      <c r="O8" s="6">
        <f t="shared" si="6"/>
        <v>0</v>
      </c>
      <c r="P8" s="7">
        <f t="shared" si="2"/>
        <v>0</v>
      </c>
      <c r="Q8" s="56">
        <v>0.52400000000000002</v>
      </c>
      <c r="R8" s="8">
        <f t="shared" si="3"/>
        <v>0</v>
      </c>
      <c r="S8" s="56">
        <v>0.61599999999999999</v>
      </c>
      <c r="T8" s="16">
        <v>2.7</v>
      </c>
      <c r="U8" s="7">
        <f t="shared" si="4"/>
        <v>0</v>
      </c>
      <c r="V8" s="4"/>
      <c r="W8" s="119">
        <f t="shared" si="7"/>
        <v>3.7276199999999995</v>
      </c>
      <c r="X8" s="7">
        <f t="shared" si="5"/>
        <v>0</v>
      </c>
      <c r="AC8" s="15">
        <v>8423224784570</v>
      </c>
    </row>
    <row r="9" spans="1:29" ht="15.65" customHeight="1" x14ac:dyDescent="0.25">
      <c r="A9" s="9"/>
      <c r="B9" s="104" t="s">
        <v>66</v>
      </c>
      <c r="C9" s="126"/>
      <c r="D9" s="9" t="s">
        <v>261</v>
      </c>
      <c r="E9" s="78"/>
      <c r="F9" s="78"/>
      <c r="G9" s="10">
        <v>108</v>
      </c>
      <c r="H9" s="5">
        <f t="shared" si="0"/>
        <v>0</v>
      </c>
      <c r="I9" s="1">
        <v>0.77</v>
      </c>
      <c r="J9" s="1">
        <v>0.37</v>
      </c>
      <c r="K9" s="1">
        <v>0.23</v>
      </c>
      <c r="L9" s="1">
        <v>23.5</v>
      </c>
      <c r="M9" s="6">
        <f t="shared" si="1"/>
        <v>0</v>
      </c>
      <c r="N9" s="11">
        <v>1296</v>
      </c>
      <c r="O9" s="6">
        <f t="shared" si="6"/>
        <v>0</v>
      </c>
      <c r="P9" s="7">
        <f t="shared" si="2"/>
        <v>0</v>
      </c>
      <c r="Q9" s="56"/>
      <c r="R9" s="8">
        <f t="shared" si="3"/>
        <v>0</v>
      </c>
      <c r="S9" s="56">
        <v>0.629</v>
      </c>
      <c r="T9" s="16">
        <v>2.76</v>
      </c>
      <c r="U9" s="7">
        <f t="shared" si="4"/>
        <v>0</v>
      </c>
      <c r="V9" s="17"/>
      <c r="W9" s="119">
        <f t="shared" si="7"/>
        <v>3.8104559999999994</v>
      </c>
      <c r="X9" s="7">
        <f t="shared" si="5"/>
        <v>0</v>
      </c>
      <c r="AC9" s="15">
        <v>8423224812952</v>
      </c>
    </row>
    <row r="10" spans="1:29" ht="15.65" customHeight="1" x14ac:dyDescent="0.25">
      <c r="A10" s="9"/>
      <c r="B10" s="104" t="s">
        <v>4</v>
      </c>
      <c r="C10" s="126"/>
      <c r="D10" s="9" t="s">
        <v>262</v>
      </c>
      <c r="E10" s="78"/>
      <c r="F10" s="78"/>
      <c r="G10" s="10">
        <v>108</v>
      </c>
      <c r="H10" s="5">
        <f t="shared" si="0"/>
        <v>0</v>
      </c>
      <c r="I10" s="1">
        <v>0.77</v>
      </c>
      <c r="J10" s="1">
        <v>0.37</v>
      </c>
      <c r="K10" s="1">
        <v>0.23</v>
      </c>
      <c r="L10" s="1">
        <v>23.5</v>
      </c>
      <c r="M10" s="6">
        <f t="shared" si="1"/>
        <v>0</v>
      </c>
      <c r="N10" s="11">
        <v>1296</v>
      </c>
      <c r="O10" s="6">
        <f t="shared" si="6"/>
        <v>0</v>
      </c>
      <c r="P10" s="7">
        <f t="shared" si="2"/>
        <v>0</v>
      </c>
      <c r="Q10" s="56"/>
      <c r="R10" s="8">
        <f t="shared" si="3"/>
        <v>0</v>
      </c>
      <c r="S10" s="56">
        <v>0.629</v>
      </c>
      <c r="T10" s="16">
        <v>2.76</v>
      </c>
      <c r="U10" s="7">
        <f t="shared" si="4"/>
        <v>0</v>
      </c>
      <c r="V10" s="17"/>
      <c r="W10" s="119">
        <f t="shared" si="7"/>
        <v>3.8104559999999994</v>
      </c>
      <c r="X10" s="7">
        <f t="shared" si="5"/>
        <v>0</v>
      </c>
      <c r="AC10" s="15">
        <v>8423224807729</v>
      </c>
    </row>
    <row r="11" spans="1:29" ht="15.65" customHeight="1" x14ac:dyDescent="0.25">
      <c r="A11" s="9"/>
      <c r="B11" s="104" t="s">
        <v>67</v>
      </c>
      <c r="C11" s="125" t="s">
        <v>233</v>
      </c>
      <c r="D11" s="9" t="s">
        <v>263</v>
      </c>
      <c r="E11" s="78"/>
      <c r="F11" s="78"/>
      <c r="G11" s="10">
        <v>108</v>
      </c>
      <c r="H11" s="5">
        <f t="shared" si="0"/>
        <v>0</v>
      </c>
      <c r="I11" s="1">
        <v>0.77</v>
      </c>
      <c r="J11" s="1">
        <v>0.37</v>
      </c>
      <c r="K11" s="1">
        <v>0.23</v>
      </c>
      <c r="L11" s="1">
        <v>23.5</v>
      </c>
      <c r="M11" s="6">
        <f t="shared" si="1"/>
        <v>0</v>
      </c>
      <c r="N11" s="11">
        <v>1296</v>
      </c>
      <c r="O11" s="6">
        <f t="shared" si="6"/>
        <v>0</v>
      </c>
      <c r="P11" s="7">
        <f t="shared" si="2"/>
        <v>0</v>
      </c>
      <c r="Q11" s="56">
        <v>0.61099999999999999</v>
      </c>
      <c r="R11" s="8">
        <f t="shared" si="3"/>
        <v>0</v>
      </c>
      <c r="S11" s="56">
        <v>0.71899999999999997</v>
      </c>
      <c r="T11" s="16">
        <v>2.98</v>
      </c>
      <c r="U11" s="7">
        <f t="shared" si="4"/>
        <v>0</v>
      </c>
      <c r="V11" s="17"/>
      <c r="W11" s="119">
        <f t="shared" si="7"/>
        <v>4.1141879999999995</v>
      </c>
      <c r="X11" s="7">
        <f t="shared" si="5"/>
        <v>0</v>
      </c>
      <c r="AC11" s="15">
        <v>8423224835685</v>
      </c>
    </row>
    <row r="12" spans="1:29" ht="15.65" customHeight="1" x14ac:dyDescent="0.25">
      <c r="A12" s="9"/>
      <c r="B12" s="104" t="s">
        <v>68</v>
      </c>
      <c r="C12" s="125" t="s">
        <v>203</v>
      </c>
      <c r="D12" s="9" t="s">
        <v>264</v>
      </c>
      <c r="E12" s="78"/>
      <c r="F12" s="78"/>
      <c r="G12" s="10">
        <v>108</v>
      </c>
      <c r="H12" s="5">
        <f t="shared" si="0"/>
        <v>0</v>
      </c>
      <c r="I12" s="1">
        <v>0.77</v>
      </c>
      <c r="J12" s="1">
        <v>0.37</v>
      </c>
      <c r="K12" s="1">
        <v>0.23</v>
      </c>
      <c r="L12" s="1">
        <v>23.5</v>
      </c>
      <c r="M12" s="6">
        <f t="shared" si="1"/>
        <v>0</v>
      </c>
      <c r="N12" s="11">
        <v>1296</v>
      </c>
      <c r="O12" s="6">
        <f t="shared" si="6"/>
        <v>0</v>
      </c>
      <c r="P12" s="7">
        <f t="shared" si="2"/>
        <v>0</v>
      </c>
      <c r="Q12" s="56"/>
      <c r="R12" s="8">
        <f t="shared" si="3"/>
        <v>0</v>
      </c>
      <c r="S12" s="56">
        <v>0.71899999999999997</v>
      </c>
      <c r="T12" s="16">
        <v>3.05</v>
      </c>
      <c r="U12" s="7">
        <f t="shared" si="4"/>
        <v>0</v>
      </c>
      <c r="V12" s="17"/>
      <c r="W12" s="119">
        <f t="shared" si="7"/>
        <v>4.2108299999999996</v>
      </c>
      <c r="X12" s="7">
        <f t="shared" si="5"/>
        <v>0</v>
      </c>
      <c r="AC12" s="15">
        <v>8423224821213</v>
      </c>
    </row>
    <row r="13" spans="1:29" ht="15.65" customHeight="1" x14ac:dyDescent="0.25">
      <c r="A13" s="9"/>
      <c r="B13" s="159" t="s">
        <v>69</v>
      </c>
      <c r="C13" s="125" t="s">
        <v>145</v>
      </c>
      <c r="D13" s="9" t="s">
        <v>265</v>
      </c>
      <c r="E13" s="78"/>
      <c r="F13" s="78"/>
      <c r="G13" s="10">
        <v>108</v>
      </c>
      <c r="H13" s="5">
        <f t="shared" si="0"/>
        <v>0</v>
      </c>
      <c r="I13" s="1">
        <v>0.77</v>
      </c>
      <c r="J13" s="1">
        <v>0.37</v>
      </c>
      <c r="K13" s="1">
        <v>0.23</v>
      </c>
      <c r="L13" s="1">
        <v>23.5</v>
      </c>
      <c r="M13" s="6">
        <f t="shared" si="1"/>
        <v>0</v>
      </c>
      <c r="N13" s="11">
        <v>1296</v>
      </c>
      <c r="O13" s="6">
        <f t="shared" si="6"/>
        <v>0</v>
      </c>
      <c r="P13" s="7">
        <f t="shared" si="2"/>
        <v>0</v>
      </c>
      <c r="Q13" s="56">
        <v>0.74399999999999999</v>
      </c>
      <c r="R13" s="8">
        <f t="shared" si="3"/>
        <v>0</v>
      </c>
      <c r="S13" s="56">
        <v>0.875</v>
      </c>
      <c r="T13" s="43">
        <v>3.641</v>
      </c>
      <c r="U13" s="7">
        <f t="shared" si="4"/>
        <v>0</v>
      </c>
      <c r="V13" s="17"/>
      <c r="W13" s="119">
        <f t="shared" si="7"/>
        <v>5.0267645999999999</v>
      </c>
      <c r="X13" s="7">
        <f t="shared" si="5"/>
        <v>0</v>
      </c>
      <c r="AC13" s="15">
        <v>8423224821220</v>
      </c>
    </row>
    <row r="14" spans="1:29" ht="15.65" customHeight="1" x14ac:dyDescent="0.25">
      <c r="A14" s="9"/>
      <c r="B14" s="104"/>
      <c r="C14" s="126"/>
      <c r="D14" s="9"/>
      <c r="E14" s="78"/>
      <c r="F14" s="78"/>
      <c r="G14" s="10"/>
      <c r="H14" s="5"/>
      <c r="M14" s="6"/>
      <c r="N14" s="11"/>
      <c r="O14" s="6"/>
      <c r="P14" s="7"/>
      <c r="Q14" s="56"/>
      <c r="R14" s="8"/>
      <c r="S14" s="56"/>
      <c r="T14" s="12"/>
      <c r="U14" s="7"/>
      <c r="V14" s="17"/>
      <c r="W14" s="119"/>
      <c r="X14" s="7">
        <f t="shared" si="5"/>
        <v>0</v>
      </c>
      <c r="AC14" s="15"/>
    </row>
    <row r="15" spans="1:29" ht="15.65" customHeight="1" x14ac:dyDescent="0.25">
      <c r="A15" s="9" t="s">
        <v>266</v>
      </c>
      <c r="B15" s="104" t="s">
        <v>70</v>
      </c>
      <c r="C15" s="125" t="s">
        <v>205</v>
      </c>
      <c r="D15" s="1" t="s">
        <v>257</v>
      </c>
      <c r="E15" s="78"/>
      <c r="F15" s="78"/>
      <c r="G15" s="76">
        <v>90</v>
      </c>
      <c r="H15" s="5">
        <f t="shared" ref="H15:H23" si="8">E15/G15</f>
        <v>0</v>
      </c>
      <c r="I15" s="6">
        <v>0.4</v>
      </c>
      <c r="J15" s="6">
        <v>0.3</v>
      </c>
      <c r="K15" s="1">
        <v>0.27</v>
      </c>
      <c r="L15" s="1">
        <v>20.5</v>
      </c>
      <c r="M15" s="14">
        <f t="shared" ref="M15:M22" si="9">H15*I15*J15*K15</f>
        <v>0</v>
      </c>
      <c r="N15" s="11"/>
      <c r="O15" s="6"/>
      <c r="P15" s="7">
        <f t="shared" ref="P15:P22" si="10">H15*L15</f>
        <v>0</v>
      </c>
      <c r="Q15" s="56">
        <v>0.65200000000000002</v>
      </c>
      <c r="R15" s="8">
        <f t="shared" ref="R15:R23" si="11">E15*Q15</f>
        <v>0</v>
      </c>
      <c r="S15" s="56">
        <v>0.76700000000000002</v>
      </c>
      <c r="T15" s="12">
        <v>3.06</v>
      </c>
      <c r="U15" s="7">
        <f t="shared" ref="U15:U23" si="12">E15*T15</f>
        <v>0</v>
      </c>
      <c r="V15" s="17"/>
      <c r="W15" s="119">
        <f t="shared" si="7"/>
        <v>4.2246359999999994</v>
      </c>
      <c r="X15" s="7">
        <f t="shared" si="5"/>
        <v>0</v>
      </c>
      <c r="AC15" s="15"/>
    </row>
    <row r="16" spans="1:29" ht="15.65" customHeight="1" x14ac:dyDescent="0.25">
      <c r="B16" s="104" t="s">
        <v>5</v>
      </c>
      <c r="C16" s="125" t="s">
        <v>148</v>
      </c>
      <c r="D16" s="9" t="s">
        <v>258</v>
      </c>
      <c r="E16" s="78"/>
      <c r="F16" s="78"/>
      <c r="G16" s="10">
        <v>72</v>
      </c>
      <c r="H16" s="5">
        <f t="shared" si="8"/>
        <v>0</v>
      </c>
      <c r="I16" s="1">
        <v>0.8</v>
      </c>
      <c r="J16" s="1">
        <v>0.46</v>
      </c>
      <c r="K16" s="1">
        <v>0.23</v>
      </c>
      <c r="L16" s="1">
        <v>24</v>
      </c>
      <c r="M16" s="6">
        <f t="shared" si="9"/>
        <v>0</v>
      </c>
      <c r="N16" s="11">
        <v>1152</v>
      </c>
      <c r="O16" s="6">
        <f t="shared" ref="O16:O23" si="13">E16/N16</f>
        <v>0</v>
      </c>
      <c r="P16" s="7">
        <f t="shared" si="10"/>
        <v>0</v>
      </c>
      <c r="Q16" s="56">
        <v>0.80800000000000005</v>
      </c>
      <c r="R16" s="8">
        <f t="shared" si="11"/>
        <v>0</v>
      </c>
      <c r="S16" s="56">
        <v>0.95</v>
      </c>
      <c r="T16" s="18">
        <v>4.0599999999999996</v>
      </c>
      <c r="U16" s="7">
        <f t="shared" si="12"/>
        <v>0</v>
      </c>
      <c r="V16" s="17"/>
      <c r="W16" s="119">
        <f t="shared" si="7"/>
        <v>5.6052359999999988</v>
      </c>
      <c r="X16" s="7">
        <f t="shared" si="5"/>
        <v>0</v>
      </c>
      <c r="AC16" s="15">
        <v>8423224784709</v>
      </c>
    </row>
    <row r="17" spans="1:29" ht="15.65" customHeight="1" x14ac:dyDescent="0.25">
      <c r="A17" s="9"/>
      <c r="B17" s="159" t="s">
        <v>6</v>
      </c>
      <c r="C17" s="125" t="s">
        <v>201</v>
      </c>
      <c r="D17" s="9" t="s">
        <v>259</v>
      </c>
      <c r="E17" s="78"/>
      <c r="F17" s="78"/>
      <c r="G17" s="10">
        <v>72</v>
      </c>
      <c r="H17" s="5">
        <f t="shared" si="8"/>
        <v>0</v>
      </c>
      <c r="I17" s="1">
        <v>0.8</v>
      </c>
      <c r="J17" s="1">
        <v>0.46</v>
      </c>
      <c r="K17" s="1">
        <v>0.23</v>
      </c>
      <c r="L17" s="1">
        <v>24</v>
      </c>
      <c r="M17" s="6">
        <f t="shared" si="9"/>
        <v>0</v>
      </c>
      <c r="N17" s="11">
        <v>1152</v>
      </c>
      <c r="O17" s="6">
        <f t="shared" si="13"/>
        <v>0</v>
      </c>
      <c r="P17" s="7">
        <f t="shared" si="10"/>
        <v>0</v>
      </c>
      <c r="Q17" s="56">
        <v>0.80800000000000005</v>
      </c>
      <c r="R17" s="8">
        <f t="shared" si="11"/>
        <v>0</v>
      </c>
      <c r="S17" s="56">
        <v>0.95</v>
      </c>
      <c r="T17" s="18">
        <v>4.0599999999999996</v>
      </c>
      <c r="U17" s="7">
        <f t="shared" si="12"/>
        <v>0</v>
      </c>
      <c r="V17" s="4"/>
      <c r="W17" s="119">
        <f t="shared" si="7"/>
        <v>5.6052359999999988</v>
      </c>
      <c r="X17" s="7">
        <f t="shared" si="5"/>
        <v>0</v>
      </c>
      <c r="AC17" s="15">
        <v>8423224784716</v>
      </c>
    </row>
    <row r="18" spans="1:29" ht="15.65" customHeight="1" x14ac:dyDescent="0.25">
      <c r="A18" s="9"/>
      <c r="B18" s="104" t="s">
        <v>7</v>
      </c>
      <c r="C18" s="125" t="s">
        <v>150</v>
      </c>
      <c r="D18" s="9" t="s">
        <v>260</v>
      </c>
      <c r="E18" s="78"/>
      <c r="F18" s="78"/>
      <c r="G18" s="10">
        <v>72</v>
      </c>
      <c r="H18" s="5">
        <f t="shared" si="8"/>
        <v>0</v>
      </c>
      <c r="I18" s="1">
        <v>0.8</v>
      </c>
      <c r="J18" s="1">
        <v>0.46</v>
      </c>
      <c r="K18" s="1">
        <v>0.23</v>
      </c>
      <c r="L18" s="1">
        <v>24</v>
      </c>
      <c r="M18" s="6">
        <f t="shared" si="9"/>
        <v>0</v>
      </c>
      <c r="N18" s="11">
        <v>1152</v>
      </c>
      <c r="O18" s="6">
        <f t="shared" si="13"/>
        <v>0</v>
      </c>
      <c r="P18" s="7">
        <f t="shared" si="10"/>
        <v>0</v>
      </c>
      <c r="Q18" s="56">
        <v>0.80800000000000005</v>
      </c>
      <c r="R18" s="8">
        <f t="shared" si="11"/>
        <v>0</v>
      </c>
      <c r="S18" s="56">
        <v>0.95</v>
      </c>
      <c r="T18" s="18">
        <v>4.0599999999999996</v>
      </c>
      <c r="U18" s="7">
        <f t="shared" si="12"/>
        <v>0</v>
      </c>
      <c r="V18" s="17"/>
      <c r="W18" s="119">
        <f t="shared" si="7"/>
        <v>5.6052359999999988</v>
      </c>
      <c r="X18" s="7">
        <f t="shared" si="5"/>
        <v>0</v>
      </c>
      <c r="AC18" s="15">
        <v>8423224784723</v>
      </c>
    </row>
    <row r="19" spans="1:29" ht="15.65" customHeight="1" x14ac:dyDescent="0.25">
      <c r="A19" s="9"/>
      <c r="B19" s="104" t="s">
        <v>8</v>
      </c>
      <c r="C19" s="126" t="s">
        <v>397</v>
      </c>
      <c r="D19" s="9" t="s">
        <v>267</v>
      </c>
      <c r="E19" s="78"/>
      <c r="F19" s="78"/>
      <c r="G19" s="10">
        <v>72</v>
      </c>
      <c r="H19" s="5">
        <f t="shared" si="8"/>
        <v>0</v>
      </c>
      <c r="I19" s="1">
        <v>0.8</v>
      </c>
      <c r="J19" s="1">
        <v>0.46</v>
      </c>
      <c r="K19" s="1">
        <v>0.23</v>
      </c>
      <c r="L19" s="1">
        <v>24</v>
      </c>
      <c r="M19" s="6">
        <f t="shared" si="9"/>
        <v>0</v>
      </c>
      <c r="N19" s="11">
        <v>1152</v>
      </c>
      <c r="O19" s="6">
        <f t="shared" si="13"/>
        <v>0</v>
      </c>
      <c r="P19" s="7">
        <f t="shared" si="10"/>
        <v>0</v>
      </c>
      <c r="Q19" s="56">
        <f>S19*0.85</f>
        <v>0.82874999999999999</v>
      </c>
      <c r="R19" s="8">
        <f t="shared" si="11"/>
        <v>0</v>
      </c>
      <c r="S19" s="56">
        <v>0.97499999999999998</v>
      </c>
      <c r="T19" s="18">
        <v>4.1399999999999997</v>
      </c>
      <c r="U19" s="7">
        <f t="shared" si="12"/>
        <v>0</v>
      </c>
      <c r="V19" s="17"/>
      <c r="W19" s="119">
        <f>T19*1.17*1.18</f>
        <v>5.7156839999999987</v>
      </c>
      <c r="X19" s="7">
        <f t="shared" si="5"/>
        <v>0</v>
      </c>
      <c r="AC19" s="15">
        <v>8423224807750</v>
      </c>
    </row>
    <row r="20" spans="1:29" ht="15.65" customHeight="1" x14ac:dyDescent="0.25">
      <c r="A20" s="9"/>
      <c r="B20" s="104" t="s">
        <v>9</v>
      </c>
      <c r="C20" s="126"/>
      <c r="D20" s="9" t="s">
        <v>268</v>
      </c>
      <c r="E20" s="78"/>
      <c r="F20" s="78"/>
      <c r="G20" s="10">
        <v>72</v>
      </c>
      <c r="H20" s="5">
        <f t="shared" si="8"/>
        <v>0</v>
      </c>
      <c r="I20" s="1">
        <v>0.8</v>
      </c>
      <c r="J20" s="1">
        <v>0.46</v>
      </c>
      <c r="K20" s="1">
        <v>0.23</v>
      </c>
      <c r="L20" s="1">
        <v>24</v>
      </c>
      <c r="M20" s="6">
        <f t="shared" si="9"/>
        <v>0</v>
      </c>
      <c r="N20" s="11">
        <v>1152</v>
      </c>
      <c r="O20" s="6">
        <f t="shared" si="13"/>
        <v>0</v>
      </c>
      <c r="P20" s="7">
        <f t="shared" si="10"/>
        <v>0</v>
      </c>
      <c r="Q20" s="56">
        <v>0.82899999999999996</v>
      </c>
      <c r="R20" s="8">
        <f t="shared" si="11"/>
        <v>0</v>
      </c>
      <c r="S20" s="56">
        <v>0.97499999999999998</v>
      </c>
      <c r="T20" s="18">
        <v>4.1399999999999997</v>
      </c>
      <c r="U20" s="7">
        <f t="shared" si="12"/>
        <v>0</v>
      </c>
      <c r="V20" s="17"/>
      <c r="W20" s="119">
        <f t="shared" si="7"/>
        <v>5.7156839999999987</v>
      </c>
      <c r="X20" s="7">
        <f t="shared" si="5"/>
        <v>0</v>
      </c>
      <c r="AC20" s="15">
        <v>8423224807767</v>
      </c>
    </row>
    <row r="21" spans="1:29" ht="15.65" customHeight="1" x14ac:dyDescent="0.25">
      <c r="A21" s="9"/>
      <c r="B21" s="131" t="s">
        <v>207</v>
      </c>
      <c r="C21" s="125" t="s">
        <v>206</v>
      </c>
      <c r="D21" s="9" t="s">
        <v>264</v>
      </c>
      <c r="E21" s="78"/>
      <c r="F21" s="78"/>
      <c r="G21" s="10">
        <v>72</v>
      </c>
      <c r="H21" s="5">
        <f t="shared" si="8"/>
        <v>0</v>
      </c>
      <c r="I21" s="1">
        <v>0.8</v>
      </c>
      <c r="J21" s="1">
        <v>0.46</v>
      </c>
      <c r="K21" s="1">
        <v>0.23</v>
      </c>
      <c r="L21" s="1">
        <v>24</v>
      </c>
      <c r="M21" s="6">
        <f t="shared" si="9"/>
        <v>0</v>
      </c>
      <c r="N21" s="11">
        <v>1152</v>
      </c>
      <c r="O21" s="6">
        <f t="shared" si="13"/>
        <v>0</v>
      </c>
      <c r="P21" s="7">
        <f t="shared" si="10"/>
        <v>0</v>
      </c>
      <c r="Q21" s="56">
        <v>1.079</v>
      </c>
      <c r="R21" s="8">
        <f t="shared" si="11"/>
        <v>0</v>
      </c>
      <c r="S21" s="56">
        <v>1.2689999999999999</v>
      </c>
      <c r="T21" s="18">
        <v>4.55</v>
      </c>
      <c r="U21" s="7">
        <f t="shared" si="12"/>
        <v>0</v>
      </c>
      <c r="V21" s="17"/>
      <c r="W21" s="119">
        <f t="shared" si="7"/>
        <v>6.2817299999999987</v>
      </c>
      <c r="X21" s="7">
        <f t="shared" si="5"/>
        <v>0</v>
      </c>
      <c r="AC21" s="15">
        <v>8423224839874</v>
      </c>
    </row>
    <row r="22" spans="1:29" ht="15.65" customHeight="1" x14ac:dyDescent="0.25">
      <c r="A22" s="9"/>
      <c r="B22" s="104" t="s">
        <v>10</v>
      </c>
      <c r="C22" s="126"/>
      <c r="D22" s="9" t="s">
        <v>269</v>
      </c>
      <c r="E22" s="78"/>
      <c r="F22" s="78"/>
      <c r="G22" s="10">
        <v>72</v>
      </c>
      <c r="H22" s="5">
        <f t="shared" si="8"/>
        <v>0</v>
      </c>
      <c r="I22" s="1">
        <v>0.8</v>
      </c>
      <c r="J22" s="1">
        <v>0.46</v>
      </c>
      <c r="K22" s="1">
        <v>0.23</v>
      </c>
      <c r="L22" s="1">
        <v>24</v>
      </c>
      <c r="M22" s="6">
        <f t="shared" si="9"/>
        <v>0</v>
      </c>
      <c r="N22" s="11">
        <v>1152</v>
      </c>
      <c r="O22" s="6">
        <f t="shared" si="13"/>
        <v>0</v>
      </c>
      <c r="P22" s="7">
        <f t="shared" si="10"/>
        <v>0</v>
      </c>
      <c r="Q22" s="56"/>
      <c r="R22" s="8">
        <f t="shared" si="11"/>
        <v>0</v>
      </c>
      <c r="S22" s="56">
        <v>1.335</v>
      </c>
      <c r="T22" s="18">
        <v>5.38</v>
      </c>
      <c r="U22" s="7">
        <f t="shared" si="12"/>
        <v>0</v>
      </c>
      <c r="V22" s="4"/>
      <c r="W22" s="119">
        <f t="shared" si="7"/>
        <v>7.4276279999999986</v>
      </c>
      <c r="X22" s="7">
        <f t="shared" si="5"/>
        <v>0</v>
      </c>
      <c r="AC22" s="15">
        <v>8423224807774</v>
      </c>
    </row>
    <row r="23" spans="1:29" ht="15.65" customHeight="1" x14ac:dyDescent="0.25">
      <c r="A23" s="9"/>
      <c r="B23" s="104" t="s">
        <v>130</v>
      </c>
      <c r="C23" s="125" t="s">
        <v>149</v>
      </c>
      <c r="D23" s="9" t="s">
        <v>265</v>
      </c>
      <c r="E23" s="78"/>
      <c r="F23" s="78"/>
      <c r="G23" s="10">
        <v>72</v>
      </c>
      <c r="H23" s="5">
        <f t="shared" si="8"/>
        <v>0</v>
      </c>
      <c r="I23" s="1">
        <v>0.8</v>
      </c>
      <c r="J23" s="1">
        <v>0.46</v>
      </c>
      <c r="K23" s="1">
        <v>0.23</v>
      </c>
      <c r="L23" s="1">
        <v>24</v>
      </c>
      <c r="M23" s="6">
        <f>H23*I23*J23*K23</f>
        <v>0</v>
      </c>
      <c r="N23" s="11">
        <v>1152</v>
      </c>
      <c r="O23" s="6">
        <f t="shared" si="13"/>
        <v>0</v>
      </c>
      <c r="P23" s="7">
        <f>H23*L23</f>
        <v>0</v>
      </c>
      <c r="Q23" s="56">
        <v>1.153</v>
      </c>
      <c r="R23" s="8">
        <f t="shared" si="11"/>
        <v>0</v>
      </c>
      <c r="S23" s="56">
        <v>1.357</v>
      </c>
      <c r="T23" s="43">
        <v>5.2560000000000002</v>
      </c>
      <c r="U23" s="7">
        <f t="shared" si="12"/>
        <v>0</v>
      </c>
      <c r="V23" s="17"/>
      <c r="W23" s="119">
        <f t="shared" si="7"/>
        <v>7.2564335999999994</v>
      </c>
      <c r="X23" s="7">
        <f t="shared" si="5"/>
        <v>0</v>
      </c>
      <c r="AC23" s="15">
        <v>8423224839867</v>
      </c>
    </row>
    <row r="24" spans="1:29" ht="15.65" customHeight="1" x14ac:dyDescent="0.25">
      <c r="A24" s="9"/>
      <c r="B24" s="104"/>
      <c r="C24" s="126"/>
      <c r="D24" s="9"/>
      <c r="E24" s="78"/>
      <c r="F24" s="78"/>
      <c r="G24" s="10"/>
      <c r="H24" s="5"/>
      <c r="M24" s="6"/>
      <c r="N24" s="11"/>
      <c r="O24" s="6"/>
      <c r="P24" s="7"/>
      <c r="Q24" s="56"/>
      <c r="R24" s="8"/>
      <c r="S24" s="56"/>
      <c r="T24" s="12"/>
      <c r="U24" s="7"/>
      <c r="V24" s="4"/>
      <c r="W24" s="119"/>
      <c r="X24" s="7">
        <f t="shared" si="5"/>
        <v>0</v>
      </c>
      <c r="AC24" s="15"/>
    </row>
    <row r="25" spans="1:29" ht="15.65" customHeight="1" x14ac:dyDescent="0.25">
      <c r="A25" s="9" t="s">
        <v>270</v>
      </c>
      <c r="B25" s="104" t="s">
        <v>71</v>
      </c>
      <c r="C25" s="125" t="s">
        <v>241</v>
      </c>
      <c r="D25" s="1" t="s">
        <v>257</v>
      </c>
      <c r="E25" s="78"/>
      <c r="F25" s="78"/>
      <c r="G25" s="1">
        <v>48</v>
      </c>
      <c r="H25" s="5">
        <f>E25/G25</f>
        <v>0</v>
      </c>
      <c r="I25" s="6">
        <v>0.4</v>
      </c>
      <c r="J25" s="6">
        <v>0.3</v>
      </c>
      <c r="K25" s="1">
        <v>0.27</v>
      </c>
      <c r="L25" s="1">
        <v>15.5</v>
      </c>
      <c r="M25" s="6">
        <f>H25*I25*J25*K25</f>
        <v>0</v>
      </c>
      <c r="N25" s="11"/>
      <c r="O25" s="6"/>
      <c r="P25" s="7">
        <f>H25*L25</f>
        <v>0</v>
      </c>
      <c r="Q25" s="56">
        <f>S25*0.85</f>
        <v>0.81769999999999998</v>
      </c>
      <c r="R25" s="8">
        <f>E25*Q25</f>
        <v>0</v>
      </c>
      <c r="S25" s="56">
        <v>0.96199999999999997</v>
      </c>
      <c r="T25" s="12">
        <v>3.9</v>
      </c>
      <c r="U25" s="7">
        <f>E25*T25</f>
        <v>0</v>
      </c>
      <c r="V25" s="4"/>
      <c r="W25" s="119">
        <f t="shared" si="7"/>
        <v>5.384339999999999</v>
      </c>
      <c r="X25" s="7">
        <f t="shared" si="5"/>
        <v>0</v>
      </c>
      <c r="AC25" s="15"/>
    </row>
    <row r="26" spans="1:29" ht="15.65" customHeight="1" x14ac:dyDescent="0.25">
      <c r="B26" s="104" t="s">
        <v>72</v>
      </c>
      <c r="C26" s="125" t="s">
        <v>151</v>
      </c>
      <c r="D26" s="9" t="s">
        <v>258</v>
      </c>
      <c r="E26" s="78"/>
      <c r="F26" s="78"/>
      <c r="G26" s="10">
        <v>54</v>
      </c>
      <c r="H26" s="5">
        <f>E26/G26</f>
        <v>0</v>
      </c>
      <c r="I26" s="1">
        <v>0.8</v>
      </c>
      <c r="J26" s="1">
        <v>0.46</v>
      </c>
      <c r="K26" s="1">
        <v>0.23</v>
      </c>
      <c r="L26" s="1">
        <v>24</v>
      </c>
      <c r="M26" s="6">
        <f>H26*I26*J26*K26</f>
        <v>0</v>
      </c>
      <c r="N26" s="11">
        <v>1152</v>
      </c>
      <c r="O26" s="6">
        <f>E26/N26</f>
        <v>0</v>
      </c>
      <c r="P26" s="7">
        <f>H26*L26</f>
        <v>0</v>
      </c>
      <c r="Q26" s="56">
        <f>S26*0.85</f>
        <v>1.0905499999999999</v>
      </c>
      <c r="R26" s="8">
        <f>E26*Q26</f>
        <v>0</v>
      </c>
      <c r="S26" s="56">
        <v>1.2829999999999999</v>
      </c>
      <c r="T26" s="12">
        <v>5.26</v>
      </c>
      <c r="U26" s="7">
        <f>E26*T26</f>
        <v>0</v>
      </c>
      <c r="V26" s="17"/>
      <c r="W26" s="119">
        <f t="shared" si="7"/>
        <v>7.2619559999999987</v>
      </c>
      <c r="X26" s="7">
        <f t="shared" si="5"/>
        <v>0</v>
      </c>
      <c r="AC26" s="15">
        <v>8423224821244</v>
      </c>
    </row>
    <row r="27" spans="1:29" ht="15.65" customHeight="1" x14ac:dyDescent="0.25">
      <c r="A27" s="9"/>
      <c r="B27" s="104" t="s">
        <v>73</v>
      </c>
      <c r="C27" s="125" t="s">
        <v>208</v>
      </c>
      <c r="D27" s="9" t="s">
        <v>271</v>
      </c>
      <c r="E27" s="78"/>
      <c r="F27" s="78"/>
      <c r="G27" s="10">
        <v>54</v>
      </c>
      <c r="H27" s="5">
        <f>E27/G27</f>
        <v>0</v>
      </c>
      <c r="I27" s="1">
        <v>0.8</v>
      </c>
      <c r="J27" s="1">
        <v>0.46</v>
      </c>
      <c r="K27" s="1">
        <v>0.23</v>
      </c>
      <c r="L27" s="1">
        <v>24</v>
      </c>
      <c r="M27" s="6">
        <f>H27*I27*J27*K27</f>
        <v>0</v>
      </c>
      <c r="N27" s="11">
        <v>1152</v>
      </c>
      <c r="O27" s="6">
        <f>E27/N27</f>
        <v>0</v>
      </c>
      <c r="P27" s="7">
        <f>H27*L27</f>
        <v>0</v>
      </c>
      <c r="Q27" s="56">
        <f>S27*0.85</f>
        <v>1.0905499999999999</v>
      </c>
      <c r="R27" s="8">
        <f>E27*Q27</f>
        <v>0</v>
      </c>
      <c r="S27" s="56">
        <v>1.2829999999999999</v>
      </c>
      <c r="T27" s="12">
        <v>5.26</v>
      </c>
      <c r="U27" s="7">
        <f>E27*T27</f>
        <v>0</v>
      </c>
      <c r="V27" s="17"/>
      <c r="W27" s="119">
        <f t="shared" si="7"/>
        <v>7.2619559999999987</v>
      </c>
      <c r="X27" s="7">
        <f t="shared" si="5"/>
        <v>0</v>
      </c>
      <c r="AC27" s="15"/>
    </row>
    <row r="28" spans="1:29" ht="15.65" customHeight="1" x14ac:dyDescent="0.25">
      <c r="A28" s="9"/>
      <c r="B28" s="104" t="s">
        <v>74</v>
      </c>
      <c r="C28" s="125" t="s">
        <v>153</v>
      </c>
      <c r="D28" s="9" t="s">
        <v>260</v>
      </c>
      <c r="E28" s="78"/>
      <c r="F28" s="78"/>
      <c r="G28" s="10">
        <v>54</v>
      </c>
      <c r="H28" s="5">
        <f>E28/G28</f>
        <v>0</v>
      </c>
      <c r="I28" s="1">
        <v>0.8</v>
      </c>
      <c r="J28" s="1">
        <v>0.46</v>
      </c>
      <c r="K28" s="1">
        <v>0.23</v>
      </c>
      <c r="L28" s="1">
        <v>24</v>
      </c>
      <c r="M28" s="6">
        <f>H28*I28*J28*K28</f>
        <v>0</v>
      </c>
      <c r="N28" s="11">
        <v>1152</v>
      </c>
      <c r="O28" s="6">
        <f>E28/N28</f>
        <v>0</v>
      </c>
      <c r="P28" s="7">
        <f>H28*L28</f>
        <v>0</v>
      </c>
      <c r="Q28" s="56">
        <f>S28*0.85</f>
        <v>1.0905499999999999</v>
      </c>
      <c r="R28" s="8">
        <f>E28*Q28</f>
        <v>0</v>
      </c>
      <c r="S28" s="56">
        <v>1.2829999999999999</v>
      </c>
      <c r="T28" s="12">
        <v>5.26</v>
      </c>
      <c r="U28" s="7">
        <f>E28*T28</f>
        <v>0</v>
      </c>
      <c r="V28" s="17"/>
      <c r="W28" s="119">
        <f t="shared" si="7"/>
        <v>7.2619559999999987</v>
      </c>
      <c r="X28" s="7">
        <f t="shared" si="5"/>
        <v>0</v>
      </c>
      <c r="AC28" s="15"/>
    </row>
    <row r="29" spans="1:29" ht="15.65" customHeight="1" x14ac:dyDescent="0.25">
      <c r="A29" s="9"/>
      <c r="B29" s="104" t="s">
        <v>131</v>
      </c>
      <c r="C29" s="125" t="s">
        <v>152</v>
      </c>
      <c r="D29" s="9" t="s">
        <v>265</v>
      </c>
      <c r="E29" s="78"/>
      <c r="F29" s="78"/>
      <c r="G29" s="10">
        <v>54</v>
      </c>
      <c r="H29" s="5">
        <f>E29/G29</f>
        <v>0</v>
      </c>
      <c r="I29" s="1">
        <v>0.8</v>
      </c>
      <c r="J29" s="1">
        <v>0.46</v>
      </c>
      <c r="K29" s="1">
        <v>0.23</v>
      </c>
      <c r="L29" s="1">
        <v>24</v>
      </c>
      <c r="M29" s="6">
        <f>H29*I29*J29*K29</f>
        <v>0</v>
      </c>
      <c r="N29" s="11">
        <v>1152</v>
      </c>
      <c r="O29" s="6">
        <f>E29/N29</f>
        <v>0</v>
      </c>
      <c r="P29" s="7">
        <f>H29*L29</f>
        <v>0</v>
      </c>
      <c r="Q29" s="56">
        <v>1.498</v>
      </c>
      <c r="R29" s="8">
        <f>E29*Q29</f>
        <v>0</v>
      </c>
      <c r="S29" s="56">
        <v>1.762</v>
      </c>
      <c r="T29" s="59">
        <v>6.7949999999999999</v>
      </c>
      <c r="U29" s="7">
        <f>E29*T29</f>
        <v>0</v>
      </c>
      <c r="V29" s="17"/>
      <c r="W29" s="119">
        <f t="shared" si="7"/>
        <v>9.3811769999999992</v>
      </c>
      <c r="X29" s="7">
        <f t="shared" si="5"/>
        <v>0</v>
      </c>
      <c r="AC29" s="15">
        <v>8423224839881</v>
      </c>
    </row>
    <row r="30" spans="1:29" ht="15.65" customHeight="1" x14ac:dyDescent="0.25">
      <c r="A30" s="9"/>
      <c r="B30" s="104"/>
      <c r="C30" s="126"/>
      <c r="D30" s="9"/>
      <c r="E30" s="78"/>
      <c r="F30" s="78"/>
      <c r="G30" s="10"/>
      <c r="H30" s="5"/>
      <c r="M30" s="6"/>
      <c r="N30" s="11"/>
      <c r="O30" s="6"/>
      <c r="P30" s="7"/>
      <c r="Q30" s="56"/>
      <c r="R30" s="8"/>
      <c r="S30" s="56"/>
      <c r="T30" s="12"/>
      <c r="U30" s="7"/>
      <c r="V30" s="4"/>
      <c r="W30" s="119"/>
      <c r="X30" s="7">
        <f t="shared" si="5"/>
        <v>0</v>
      </c>
      <c r="AC30" s="15"/>
    </row>
    <row r="31" spans="1:29" ht="15.65" customHeight="1" x14ac:dyDescent="0.25">
      <c r="A31" s="9" t="s">
        <v>272</v>
      </c>
      <c r="B31" s="104" t="s">
        <v>75</v>
      </c>
      <c r="C31" s="126"/>
      <c r="D31" s="1" t="s">
        <v>257</v>
      </c>
      <c r="E31" s="78"/>
      <c r="F31" s="78"/>
      <c r="G31" s="1">
        <v>108</v>
      </c>
      <c r="H31" s="5">
        <f>E31/G31</f>
        <v>0</v>
      </c>
      <c r="I31" s="6">
        <v>0.4</v>
      </c>
      <c r="J31" s="6">
        <v>0.3</v>
      </c>
      <c r="K31" s="1">
        <v>0.21</v>
      </c>
      <c r="L31" s="1">
        <v>19.5</v>
      </c>
      <c r="M31" s="6">
        <f>H31*I31*J31*K31</f>
        <v>0</v>
      </c>
      <c r="N31" s="11"/>
      <c r="O31" s="6"/>
      <c r="P31" s="7">
        <f>H31*L31</f>
        <v>0</v>
      </c>
      <c r="Q31" s="56">
        <f>S31*0.85</f>
        <v>0.45050000000000001</v>
      </c>
      <c r="R31" s="8">
        <f>E31*Q31</f>
        <v>0</v>
      </c>
      <c r="S31" s="56">
        <v>0.53</v>
      </c>
      <c r="T31" s="12">
        <v>2.2999999999999998</v>
      </c>
      <c r="U31" s="7">
        <f>E31*T31</f>
        <v>0</v>
      </c>
      <c r="V31" s="4"/>
      <c r="W31" s="119">
        <f t="shared" si="7"/>
        <v>3.1753799999999996</v>
      </c>
      <c r="X31" s="7">
        <f t="shared" si="5"/>
        <v>0</v>
      </c>
      <c r="AC31" s="15"/>
    </row>
    <row r="32" spans="1:29" ht="15.65" customHeight="1" x14ac:dyDescent="0.25">
      <c r="B32" s="159" t="s">
        <v>11</v>
      </c>
      <c r="C32" s="125" t="s">
        <v>154</v>
      </c>
      <c r="D32" s="9" t="s">
        <v>258</v>
      </c>
      <c r="E32" s="78"/>
      <c r="F32" s="78"/>
      <c r="G32" s="1">
        <v>108</v>
      </c>
      <c r="H32" s="5">
        <f>E32/G32</f>
        <v>0</v>
      </c>
      <c r="I32" s="1">
        <v>0.77</v>
      </c>
      <c r="J32" s="1">
        <v>0.37</v>
      </c>
      <c r="K32" s="1">
        <v>0.23</v>
      </c>
      <c r="L32" s="1">
        <v>22.5</v>
      </c>
      <c r="M32" s="6">
        <f>H32*I32*J32*K32</f>
        <v>0</v>
      </c>
      <c r="N32" s="11">
        <v>1296</v>
      </c>
      <c r="O32" s="6">
        <f>E32/N32</f>
        <v>0</v>
      </c>
      <c r="P32" s="7">
        <f>H32*L32</f>
        <v>0</v>
      </c>
      <c r="Q32" s="56">
        <v>0.56699999999999995</v>
      </c>
      <c r="R32" s="8">
        <f>E32*Q32</f>
        <v>0</v>
      </c>
      <c r="S32" s="56">
        <v>0.66700000000000004</v>
      </c>
      <c r="T32" s="19">
        <v>2.92</v>
      </c>
      <c r="U32" s="7">
        <f>E32*T32</f>
        <v>0</v>
      </c>
      <c r="V32" s="4"/>
      <c r="W32" s="119">
        <f t="shared" si="7"/>
        <v>4.031352</v>
      </c>
      <c r="X32" s="7">
        <f t="shared" si="5"/>
        <v>0</v>
      </c>
      <c r="Y32" s="14">
        <f>E32*X32</f>
        <v>0</v>
      </c>
      <c r="Z32" s="20">
        <v>0.98</v>
      </c>
      <c r="AA32" s="20">
        <f>E32*Z32</f>
        <v>0</v>
      </c>
      <c r="AC32" s="15">
        <v>8423224784587</v>
      </c>
    </row>
    <row r="33" spans="1:29" ht="15.65" customHeight="1" x14ac:dyDescent="0.25">
      <c r="A33" s="9"/>
      <c r="B33" s="104" t="s">
        <v>12</v>
      </c>
      <c r="C33" s="125" t="s">
        <v>155</v>
      </c>
      <c r="D33" s="9" t="s">
        <v>259</v>
      </c>
      <c r="E33" s="78"/>
      <c r="F33" s="78"/>
      <c r="G33" s="1">
        <v>108</v>
      </c>
      <c r="H33" s="5">
        <f>E33/G33</f>
        <v>0</v>
      </c>
      <c r="I33" s="1">
        <v>0.77</v>
      </c>
      <c r="J33" s="1">
        <v>0.37</v>
      </c>
      <c r="K33" s="1">
        <v>0.23</v>
      </c>
      <c r="L33" s="1">
        <v>22.5</v>
      </c>
      <c r="M33" s="6">
        <f>H33*I33*J33*K33</f>
        <v>0</v>
      </c>
      <c r="N33" s="11">
        <v>1296</v>
      </c>
      <c r="O33" s="6">
        <f>E33/N33</f>
        <v>0</v>
      </c>
      <c r="P33" s="7">
        <f>H33*L33</f>
        <v>0</v>
      </c>
      <c r="Q33" s="56">
        <v>0.56699999999999995</v>
      </c>
      <c r="R33" s="8">
        <f>E33*Q33</f>
        <v>0</v>
      </c>
      <c r="S33" s="56">
        <v>0.66700000000000004</v>
      </c>
      <c r="T33" s="19">
        <v>2.92</v>
      </c>
      <c r="U33" s="7">
        <f>E33*T33</f>
        <v>0</v>
      </c>
      <c r="V33" s="4"/>
      <c r="W33" s="119">
        <f t="shared" si="7"/>
        <v>4.031352</v>
      </c>
      <c r="X33" s="7">
        <f t="shared" si="5"/>
        <v>0</v>
      </c>
      <c r="AC33" s="15">
        <v>8423224784594</v>
      </c>
    </row>
    <row r="34" spans="1:29" ht="15.65" customHeight="1" x14ac:dyDescent="0.25">
      <c r="A34" s="9"/>
      <c r="B34" s="159" t="s">
        <v>13</v>
      </c>
      <c r="C34" s="125" t="s">
        <v>156</v>
      </c>
      <c r="D34" s="9" t="s">
        <v>260</v>
      </c>
      <c r="E34" s="78"/>
      <c r="F34" s="78"/>
      <c r="G34" s="1">
        <v>108</v>
      </c>
      <c r="H34" s="5">
        <f>E34/G34</f>
        <v>0</v>
      </c>
      <c r="I34" s="1">
        <v>0.77</v>
      </c>
      <c r="J34" s="1">
        <v>0.37</v>
      </c>
      <c r="K34" s="1">
        <v>0.23</v>
      </c>
      <c r="L34" s="1">
        <v>22.5</v>
      </c>
      <c r="M34" s="6">
        <f>H34*I34*J34*K34</f>
        <v>0</v>
      </c>
      <c r="N34" s="11">
        <v>1296</v>
      </c>
      <c r="O34" s="6">
        <f>E34/N34</f>
        <v>0</v>
      </c>
      <c r="P34" s="7">
        <f>H34*L34</f>
        <v>0</v>
      </c>
      <c r="Q34" s="56">
        <v>0.56699999999999995</v>
      </c>
      <c r="R34" s="8">
        <f>E34*Q34</f>
        <v>0</v>
      </c>
      <c r="S34" s="56">
        <v>0.66700000000000004</v>
      </c>
      <c r="T34" s="19">
        <v>2.92</v>
      </c>
      <c r="U34" s="7">
        <f>E34*T34</f>
        <v>0</v>
      </c>
      <c r="V34" s="4"/>
      <c r="W34" s="119">
        <f t="shared" si="7"/>
        <v>4.031352</v>
      </c>
      <c r="X34" s="7">
        <f t="shared" si="5"/>
        <v>0</v>
      </c>
      <c r="AC34" s="15">
        <v>8423224784600</v>
      </c>
    </row>
    <row r="35" spans="1:29" ht="15.65" customHeight="1" x14ac:dyDescent="0.25">
      <c r="A35" s="9"/>
      <c r="B35" s="104"/>
      <c r="C35" s="126"/>
      <c r="D35" s="9"/>
      <c r="E35" s="78"/>
      <c r="F35" s="78"/>
      <c r="H35" s="5"/>
      <c r="N35" s="11"/>
      <c r="P35" s="7"/>
      <c r="Q35" s="56"/>
      <c r="R35" s="8"/>
      <c r="S35" s="56"/>
      <c r="T35" s="19"/>
      <c r="U35" s="7"/>
      <c r="V35" s="4"/>
      <c r="W35" s="119"/>
      <c r="X35" s="7">
        <f t="shared" si="5"/>
        <v>0</v>
      </c>
      <c r="AC35" s="15"/>
    </row>
    <row r="36" spans="1:29" ht="15.65" customHeight="1" x14ac:dyDescent="0.35">
      <c r="A36" s="1" t="s">
        <v>273</v>
      </c>
      <c r="B36" s="104" t="s">
        <v>76</v>
      </c>
      <c r="C36" s="126"/>
      <c r="D36" s="1" t="s">
        <v>257</v>
      </c>
      <c r="E36" s="78"/>
      <c r="F36" s="78"/>
      <c r="G36" s="1">
        <v>100</v>
      </c>
      <c r="H36" s="5">
        <f t="shared" ref="H36:H47" si="14">E36/G36</f>
        <v>0</v>
      </c>
      <c r="I36" s="6">
        <v>0.4</v>
      </c>
      <c r="J36" s="6">
        <v>0.3</v>
      </c>
      <c r="K36" s="1">
        <v>0.27</v>
      </c>
      <c r="L36" s="21">
        <v>23</v>
      </c>
      <c r="M36" s="6">
        <f t="shared" ref="M36:M47" si="15">H36*I36*J36*K36</f>
        <v>0</v>
      </c>
      <c r="N36" s="11"/>
      <c r="P36" s="7">
        <f t="shared" ref="P36:P47" si="16">H36*L36</f>
        <v>0</v>
      </c>
      <c r="Q36" s="56">
        <f>S36*0.85</f>
        <v>0.66385000000000005</v>
      </c>
      <c r="R36" s="8">
        <f t="shared" ref="R36:R47" si="17">E36*Q36</f>
        <v>0</v>
      </c>
      <c r="S36" s="56">
        <v>0.78100000000000003</v>
      </c>
      <c r="T36" s="20">
        <v>3.2</v>
      </c>
      <c r="U36" s="7">
        <f t="shared" ref="U36:U47" si="18">E36*T36</f>
        <v>0</v>
      </c>
      <c r="V36" s="4"/>
      <c r="W36" s="119">
        <f t="shared" si="7"/>
        <v>4.4179199999999996</v>
      </c>
      <c r="X36" s="7">
        <f t="shared" si="5"/>
        <v>0</v>
      </c>
      <c r="AC36" s="15"/>
    </row>
    <row r="37" spans="1:29" ht="15.65" customHeight="1" x14ac:dyDescent="0.25">
      <c r="B37" s="159" t="s">
        <v>14</v>
      </c>
      <c r="C37" s="125" t="s">
        <v>209</v>
      </c>
      <c r="D37" s="9" t="s">
        <v>258</v>
      </c>
      <c r="E37" s="78"/>
      <c r="F37" s="78"/>
      <c r="G37" s="1">
        <v>72</v>
      </c>
      <c r="H37" s="5">
        <f t="shared" si="14"/>
        <v>0</v>
      </c>
      <c r="I37" s="1">
        <v>0.6</v>
      </c>
      <c r="J37" s="1">
        <v>0.46</v>
      </c>
      <c r="K37" s="1">
        <v>0.23</v>
      </c>
      <c r="L37" s="1">
        <v>20.5</v>
      </c>
      <c r="M37" s="6">
        <f t="shared" si="15"/>
        <v>0</v>
      </c>
      <c r="N37" s="11">
        <v>1152</v>
      </c>
      <c r="O37" s="6">
        <f t="shared" ref="O37:O47" si="19">E37/N37</f>
        <v>0</v>
      </c>
      <c r="P37" s="7">
        <f t="shared" si="16"/>
        <v>0</v>
      </c>
      <c r="Q37" s="56">
        <v>0.81799999999999995</v>
      </c>
      <c r="R37" s="158">
        <f t="shared" si="17"/>
        <v>0</v>
      </c>
      <c r="S37" s="56">
        <v>0.96199999999999997</v>
      </c>
      <c r="T37" s="20">
        <v>4.0999999999999996</v>
      </c>
      <c r="U37" s="7">
        <f t="shared" si="18"/>
        <v>0</v>
      </c>
      <c r="W37" s="119">
        <f t="shared" si="7"/>
        <v>5.6604599999999996</v>
      </c>
      <c r="X37" s="7">
        <f t="shared" ref="X37:X68" si="20">E37*W37</f>
        <v>0</v>
      </c>
      <c r="AC37" s="15">
        <v>8423224784730</v>
      </c>
    </row>
    <row r="38" spans="1:29" ht="15.65" customHeight="1" x14ac:dyDescent="0.25">
      <c r="B38" s="159" t="s">
        <v>15</v>
      </c>
      <c r="C38" s="125" t="s">
        <v>328</v>
      </c>
      <c r="D38" s="124" t="s">
        <v>333</v>
      </c>
      <c r="E38" s="78"/>
      <c r="F38" s="78"/>
      <c r="G38" s="1">
        <v>72</v>
      </c>
      <c r="H38" s="5">
        <f t="shared" si="14"/>
        <v>0</v>
      </c>
      <c r="I38" s="1">
        <v>0.6</v>
      </c>
      <c r="J38" s="1">
        <v>0.46</v>
      </c>
      <c r="K38" s="1">
        <v>0.23</v>
      </c>
      <c r="L38" s="1">
        <v>20.5</v>
      </c>
      <c r="M38" s="6">
        <f t="shared" si="15"/>
        <v>0</v>
      </c>
      <c r="N38" s="11">
        <v>1152</v>
      </c>
      <c r="O38" s="6">
        <f t="shared" si="19"/>
        <v>0</v>
      </c>
      <c r="P38" s="7">
        <f t="shared" si="16"/>
        <v>0</v>
      </c>
      <c r="Q38" s="56">
        <v>0.81799999999999995</v>
      </c>
      <c r="R38" s="8">
        <f t="shared" si="17"/>
        <v>0</v>
      </c>
      <c r="S38" s="56">
        <v>0.96199999999999997</v>
      </c>
      <c r="T38" s="20">
        <v>4.0999999999999996</v>
      </c>
      <c r="U38" s="7">
        <f t="shared" si="18"/>
        <v>0</v>
      </c>
      <c r="W38" s="119">
        <f t="shared" si="7"/>
        <v>5.6604599999999996</v>
      </c>
      <c r="X38" s="7">
        <f t="shared" si="20"/>
        <v>0</v>
      </c>
      <c r="AC38" s="15">
        <v>8423224784747</v>
      </c>
    </row>
    <row r="39" spans="1:29" ht="15.65" customHeight="1" x14ac:dyDescent="0.25">
      <c r="B39" s="159" t="s">
        <v>16</v>
      </c>
      <c r="C39" s="125" t="s">
        <v>210</v>
      </c>
      <c r="D39" s="9" t="s">
        <v>260</v>
      </c>
      <c r="E39" s="78"/>
      <c r="F39" s="78"/>
      <c r="G39" s="1">
        <v>72</v>
      </c>
      <c r="H39" s="7">
        <f t="shared" si="14"/>
        <v>0</v>
      </c>
      <c r="I39" s="1">
        <v>0.6</v>
      </c>
      <c r="J39" s="1">
        <v>0.46</v>
      </c>
      <c r="K39" s="1">
        <v>0.23</v>
      </c>
      <c r="L39" s="1">
        <v>20.5</v>
      </c>
      <c r="M39" s="6">
        <f t="shared" si="15"/>
        <v>0</v>
      </c>
      <c r="N39" s="11">
        <v>1152</v>
      </c>
      <c r="O39" s="6">
        <f t="shared" si="19"/>
        <v>0</v>
      </c>
      <c r="P39" s="7">
        <f t="shared" si="16"/>
        <v>0</v>
      </c>
      <c r="Q39" s="56">
        <v>0.81799999999999995</v>
      </c>
      <c r="R39" s="8">
        <f t="shared" si="17"/>
        <v>0</v>
      </c>
      <c r="S39" s="56">
        <v>0.96199999999999997</v>
      </c>
      <c r="T39" s="20">
        <v>4.0999999999999996</v>
      </c>
      <c r="U39" s="7">
        <f t="shared" si="18"/>
        <v>0</v>
      </c>
      <c r="V39" s="4"/>
      <c r="W39" s="119">
        <f t="shared" si="7"/>
        <v>5.6604599999999996</v>
      </c>
      <c r="X39" s="7">
        <f t="shared" si="20"/>
        <v>0</v>
      </c>
      <c r="AC39" s="15">
        <v>8423224784754</v>
      </c>
    </row>
    <row r="40" spans="1:29" ht="15.65" customHeight="1" x14ac:dyDescent="0.25">
      <c r="A40" s="22" t="s">
        <v>77</v>
      </c>
      <c r="B40" s="104" t="s">
        <v>78</v>
      </c>
      <c r="C40" s="126"/>
      <c r="D40" s="9" t="s">
        <v>274</v>
      </c>
      <c r="E40" s="78"/>
      <c r="F40" s="78"/>
      <c r="G40" s="1">
        <v>72</v>
      </c>
      <c r="H40" s="5">
        <f t="shared" si="14"/>
        <v>0</v>
      </c>
      <c r="I40" s="1">
        <v>0.6</v>
      </c>
      <c r="J40" s="1">
        <v>0.46</v>
      </c>
      <c r="K40" s="1">
        <v>0.23</v>
      </c>
      <c r="L40" s="1">
        <v>20.5</v>
      </c>
      <c r="M40" s="6">
        <f t="shared" si="15"/>
        <v>0</v>
      </c>
      <c r="N40" s="11">
        <v>1152</v>
      </c>
      <c r="O40" s="6">
        <f t="shared" si="19"/>
        <v>0</v>
      </c>
      <c r="P40" s="7">
        <f t="shared" si="16"/>
        <v>0</v>
      </c>
      <c r="Q40" s="56"/>
      <c r="R40" s="8">
        <f t="shared" si="17"/>
        <v>0</v>
      </c>
      <c r="S40" s="56">
        <v>0.98799999999999999</v>
      </c>
      <c r="T40" s="20">
        <v>4.0999999999999996</v>
      </c>
      <c r="U40" s="7">
        <f t="shared" si="18"/>
        <v>0</v>
      </c>
      <c r="V40" s="23"/>
      <c r="W40" s="119">
        <f t="shared" si="7"/>
        <v>5.6604599999999996</v>
      </c>
      <c r="X40" s="7">
        <f t="shared" si="20"/>
        <v>0</v>
      </c>
      <c r="AC40" s="15">
        <v>8423224835739</v>
      </c>
    </row>
    <row r="41" spans="1:29" ht="15.65" customHeight="1" x14ac:dyDescent="0.25">
      <c r="B41" s="104" t="s">
        <v>79</v>
      </c>
      <c r="C41" s="126"/>
      <c r="D41" s="9" t="s">
        <v>275</v>
      </c>
      <c r="E41" s="78"/>
      <c r="F41" s="78"/>
      <c r="G41" s="1">
        <v>72</v>
      </c>
      <c r="H41" s="5">
        <f t="shared" si="14"/>
        <v>0</v>
      </c>
      <c r="I41" s="1">
        <v>0.6</v>
      </c>
      <c r="J41" s="1">
        <v>0.46</v>
      </c>
      <c r="K41" s="1">
        <v>0.23</v>
      </c>
      <c r="L41" s="1">
        <v>20.5</v>
      </c>
      <c r="M41" s="6">
        <f t="shared" si="15"/>
        <v>0</v>
      </c>
      <c r="N41" s="11">
        <v>1152</v>
      </c>
      <c r="O41" s="6">
        <f t="shared" si="19"/>
        <v>0</v>
      </c>
      <c r="P41" s="7">
        <f t="shared" si="16"/>
        <v>0</v>
      </c>
      <c r="Q41" s="56"/>
      <c r="R41" s="8">
        <f t="shared" si="17"/>
        <v>0</v>
      </c>
      <c r="S41" s="56">
        <v>0.98799999999999999</v>
      </c>
      <c r="T41" s="20">
        <v>4.0999999999999996</v>
      </c>
      <c r="U41" s="7">
        <f t="shared" si="18"/>
        <v>0</v>
      </c>
      <c r="W41" s="119">
        <f t="shared" si="7"/>
        <v>5.6604599999999996</v>
      </c>
      <c r="X41" s="7">
        <f t="shared" si="20"/>
        <v>0</v>
      </c>
      <c r="Y41" s="14">
        <f>E41*X41</f>
        <v>0</v>
      </c>
      <c r="Z41" s="3">
        <v>0.25</v>
      </c>
      <c r="AA41" s="20">
        <f>E41*Z41</f>
        <v>0</v>
      </c>
      <c r="AC41" s="15">
        <v>8423224835753</v>
      </c>
    </row>
    <row r="42" spans="1:29" ht="15.65" customHeight="1" x14ac:dyDescent="0.25">
      <c r="B42" s="104" t="s">
        <v>17</v>
      </c>
      <c r="C42" s="126"/>
      <c r="D42" s="9" t="s">
        <v>276</v>
      </c>
      <c r="E42" s="78"/>
      <c r="F42" s="78"/>
      <c r="G42" s="1">
        <v>72</v>
      </c>
      <c r="H42" s="5">
        <f t="shared" si="14"/>
        <v>0</v>
      </c>
      <c r="I42" s="1">
        <v>0.6</v>
      </c>
      <c r="J42" s="1">
        <v>0.46</v>
      </c>
      <c r="K42" s="1">
        <v>0.23</v>
      </c>
      <c r="L42" s="1">
        <v>20.5</v>
      </c>
      <c r="M42" s="6">
        <f t="shared" si="15"/>
        <v>0</v>
      </c>
      <c r="N42" s="11">
        <v>1152</v>
      </c>
      <c r="O42" s="6">
        <f t="shared" si="19"/>
        <v>0</v>
      </c>
      <c r="P42" s="7">
        <f t="shared" si="16"/>
        <v>0</v>
      </c>
      <c r="Q42" s="56"/>
      <c r="R42" s="8">
        <f t="shared" si="17"/>
        <v>0</v>
      </c>
      <c r="S42" s="56">
        <v>0.98799999999999999</v>
      </c>
      <c r="T42" s="20">
        <v>4.1900000000000004</v>
      </c>
      <c r="U42" s="7">
        <f t="shared" si="18"/>
        <v>0</v>
      </c>
      <c r="V42" s="4"/>
      <c r="W42" s="119">
        <f t="shared" si="7"/>
        <v>5.7847140000000001</v>
      </c>
      <c r="X42" s="7">
        <f t="shared" si="20"/>
        <v>0</v>
      </c>
      <c r="AC42" s="15">
        <v>8423224807811</v>
      </c>
    </row>
    <row r="43" spans="1:29" ht="15.65" customHeight="1" x14ac:dyDescent="0.25">
      <c r="B43" s="104" t="s">
        <v>18</v>
      </c>
      <c r="C43" s="126"/>
      <c r="D43" s="9" t="s">
        <v>261</v>
      </c>
      <c r="E43" s="78"/>
      <c r="F43" s="78"/>
      <c r="G43" s="1">
        <v>72</v>
      </c>
      <c r="H43" s="5">
        <f t="shared" si="14"/>
        <v>0</v>
      </c>
      <c r="I43" s="1">
        <v>0.6</v>
      </c>
      <c r="J43" s="1">
        <v>0.46</v>
      </c>
      <c r="K43" s="1">
        <v>0.23</v>
      </c>
      <c r="L43" s="1">
        <v>20.5</v>
      </c>
      <c r="M43" s="6">
        <f t="shared" si="15"/>
        <v>0</v>
      </c>
      <c r="N43" s="11">
        <v>1152</v>
      </c>
      <c r="O43" s="6">
        <f t="shared" si="19"/>
        <v>0</v>
      </c>
      <c r="P43" s="7">
        <f t="shared" si="16"/>
        <v>0</v>
      </c>
      <c r="Q43" s="56"/>
      <c r="R43" s="8">
        <f t="shared" si="17"/>
        <v>0</v>
      </c>
      <c r="S43" s="56">
        <v>0.98799999999999999</v>
      </c>
      <c r="T43" s="20">
        <v>4.1900000000000004</v>
      </c>
      <c r="U43" s="7">
        <f t="shared" si="18"/>
        <v>0</v>
      </c>
      <c r="V43" s="23"/>
      <c r="W43" s="119">
        <f t="shared" si="7"/>
        <v>5.7847140000000001</v>
      </c>
      <c r="X43" s="7">
        <f t="shared" si="20"/>
        <v>0</v>
      </c>
      <c r="AC43" s="15">
        <v>8423224807804</v>
      </c>
    </row>
    <row r="44" spans="1:29" ht="15.65" customHeight="1" x14ac:dyDescent="0.25">
      <c r="B44" s="104" t="s">
        <v>19</v>
      </c>
      <c r="C44" s="126"/>
      <c r="D44" s="9" t="s">
        <v>262</v>
      </c>
      <c r="E44" s="78"/>
      <c r="F44" s="78"/>
      <c r="G44" s="1">
        <v>72</v>
      </c>
      <c r="H44" s="5">
        <f t="shared" si="14"/>
        <v>0</v>
      </c>
      <c r="I44" s="1">
        <v>0.6</v>
      </c>
      <c r="J44" s="1">
        <v>0.46</v>
      </c>
      <c r="K44" s="1">
        <v>0.23</v>
      </c>
      <c r="L44" s="1">
        <v>20.5</v>
      </c>
      <c r="M44" s="6">
        <f t="shared" si="15"/>
        <v>0</v>
      </c>
      <c r="N44" s="11">
        <v>1152</v>
      </c>
      <c r="O44" s="6">
        <f t="shared" si="19"/>
        <v>0</v>
      </c>
      <c r="P44" s="7">
        <f t="shared" si="16"/>
        <v>0</v>
      </c>
      <c r="Q44" s="56"/>
      <c r="R44" s="8">
        <f t="shared" si="17"/>
        <v>0</v>
      </c>
      <c r="S44" s="56">
        <v>0.98799999999999999</v>
      </c>
      <c r="T44" s="20">
        <v>4.1900000000000004</v>
      </c>
      <c r="U44" s="7">
        <f t="shared" si="18"/>
        <v>0</v>
      </c>
      <c r="W44" s="119">
        <f t="shared" si="7"/>
        <v>5.7847140000000001</v>
      </c>
      <c r="X44" s="7">
        <f t="shared" si="20"/>
        <v>0</v>
      </c>
      <c r="Y44" s="14">
        <f>E44*X44</f>
        <v>0</v>
      </c>
      <c r="Z44" s="3">
        <v>0.25</v>
      </c>
      <c r="AA44" s="20">
        <f>E44*Z44</f>
        <v>0</v>
      </c>
      <c r="AC44" s="15">
        <v>8423224807798</v>
      </c>
    </row>
    <row r="45" spans="1:29" ht="15.65" customHeight="1" x14ac:dyDescent="0.25">
      <c r="A45" s="22" t="s">
        <v>80</v>
      </c>
      <c r="B45" s="104" t="s">
        <v>81</v>
      </c>
      <c r="C45" s="126"/>
      <c r="D45" s="9" t="s">
        <v>277</v>
      </c>
      <c r="E45" s="78"/>
      <c r="F45" s="78"/>
      <c r="G45" s="1">
        <v>72</v>
      </c>
      <c r="H45" s="5">
        <f t="shared" si="14"/>
        <v>0</v>
      </c>
      <c r="I45" s="1">
        <v>0.6</v>
      </c>
      <c r="J45" s="1">
        <v>0.46</v>
      </c>
      <c r="K45" s="1">
        <v>0.23</v>
      </c>
      <c r="L45" s="1">
        <v>20.5</v>
      </c>
      <c r="M45" s="6">
        <f t="shared" si="15"/>
        <v>0</v>
      </c>
      <c r="N45" s="11">
        <v>1152</v>
      </c>
      <c r="O45" s="6">
        <f t="shared" si="19"/>
        <v>0</v>
      </c>
      <c r="P45" s="7">
        <f t="shared" si="16"/>
        <v>0</v>
      </c>
      <c r="Q45" s="56"/>
      <c r="R45" s="8">
        <f t="shared" si="17"/>
        <v>0</v>
      </c>
      <c r="S45" s="56">
        <v>1.103</v>
      </c>
      <c r="T45" s="20">
        <v>4.46</v>
      </c>
      <c r="U45" s="7">
        <f t="shared" si="18"/>
        <v>0</v>
      </c>
      <c r="V45" s="4"/>
      <c r="W45" s="119">
        <f t="shared" si="7"/>
        <v>6.1574759999999991</v>
      </c>
      <c r="X45" s="7">
        <f t="shared" si="20"/>
        <v>0</v>
      </c>
      <c r="AC45" s="15">
        <v>8423224835708</v>
      </c>
    </row>
    <row r="46" spans="1:29" ht="15.65" customHeight="1" x14ac:dyDescent="0.25">
      <c r="B46" s="104" t="s">
        <v>82</v>
      </c>
      <c r="C46" s="125" t="s">
        <v>385</v>
      </c>
      <c r="D46" s="9" t="s">
        <v>263</v>
      </c>
      <c r="E46" s="78"/>
      <c r="F46" s="78"/>
      <c r="G46" s="1">
        <v>72</v>
      </c>
      <c r="H46" s="5">
        <f t="shared" si="14"/>
        <v>0</v>
      </c>
      <c r="I46" s="1">
        <v>0.6</v>
      </c>
      <c r="J46" s="1">
        <v>0.46</v>
      </c>
      <c r="K46" s="1">
        <v>0.23</v>
      </c>
      <c r="L46" s="1">
        <v>20.5</v>
      </c>
      <c r="M46" s="6">
        <f t="shared" si="15"/>
        <v>0</v>
      </c>
      <c r="N46" s="11">
        <v>1152</v>
      </c>
      <c r="O46" s="6">
        <f t="shared" si="19"/>
        <v>0</v>
      </c>
      <c r="P46" s="7">
        <f t="shared" si="16"/>
        <v>0</v>
      </c>
      <c r="Q46" s="56">
        <f>S46*0.85</f>
        <v>0.93754999999999999</v>
      </c>
      <c r="R46" s="8">
        <f t="shared" si="17"/>
        <v>0</v>
      </c>
      <c r="S46" s="56">
        <v>1.103</v>
      </c>
      <c r="T46" s="20">
        <v>4.46</v>
      </c>
      <c r="U46" s="7">
        <f t="shared" si="18"/>
        <v>0</v>
      </c>
      <c r="W46" s="119">
        <f t="shared" si="7"/>
        <v>6.1574759999999991</v>
      </c>
      <c r="X46" s="7">
        <f t="shared" si="20"/>
        <v>0</v>
      </c>
      <c r="Y46" s="14">
        <f>E46*X46</f>
        <v>0</v>
      </c>
      <c r="Z46" s="3">
        <v>0.25</v>
      </c>
      <c r="AA46" s="20">
        <f>E46*Z46</f>
        <v>0</v>
      </c>
      <c r="AC46" s="15">
        <v>8423224835777</v>
      </c>
    </row>
    <row r="47" spans="1:29" ht="15.65" customHeight="1" x14ac:dyDescent="0.25">
      <c r="A47" s="9" t="s">
        <v>278</v>
      </c>
      <c r="B47" s="104" t="s">
        <v>83</v>
      </c>
      <c r="C47" s="125" t="s">
        <v>386</v>
      </c>
      <c r="D47" s="9" t="s">
        <v>264</v>
      </c>
      <c r="E47" s="78"/>
      <c r="F47" s="78"/>
      <c r="G47" s="1">
        <v>72</v>
      </c>
      <c r="H47" s="5">
        <f t="shared" si="14"/>
        <v>0</v>
      </c>
      <c r="I47" s="1">
        <v>0.6</v>
      </c>
      <c r="J47" s="1">
        <v>0.46</v>
      </c>
      <c r="K47" s="1">
        <v>0.23</v>
      </c>
      <c r="L47" s="1">
        <v>20.5</v>
      </c>
      <c r="M47" s="6">
        <f t="shared" si="15"/>
        <v>0</v>
      </c>
      <c r="N47" s="11">
        <v>1152</v>
      </c>
      <c r="O47" s="6">
        <f t="shared" si="19"/>
        <v>0</v>
      </c>
      <c r="P47" s="7">
        <f t="shared" si="16"/>
        <v>0</v>
      </c>
      <c r="Q47" s="56">
        <f>S47*0.85</f>
        <v>0.93754999999999999</v>
      </c>
      <c r="R47" s="8">
        <f t="shared" si="17"/>
        <v>0</v>
      </c>
      <c r="S47" s="56">
        <v>1.103</v>
      </c>
      <c r="T47" s="20">
        <v>4.51</v>
      </c>
      <c r="U47" s="7">
        <f t="shared" si="18"/>
        <v>0</v>
      </c>
      <c r="W47" s="119">
        <f t="shared" si="7"/>
        <v>6.2265059999999988</v>
      </c>
      <c r="X47" s="7">
        <f t="shared" si="20"/>
        <v>0</v>
      </c>
      <c r="Y47" s="14"/>
      <c r="AA47" s="20"/>
      <c r="AC47" s="15">
        <v>8423224821268</v>
      </c>
    </row>
    <row r="48" spans="1:29" ht="15.65" customHeight="1" x14ac:dyDescent="0.25">
      <c r="B48" s="104"/>
      <c r="C48" s="126"/>
      <c r="D48" s="9"/>
      <c r="E48" s="78"/>
      <c r="F48" s="78"/>
      <c r="H48" s="5"/>
      <c r="N48" s="11"/>
      <c r="P48" s="7"/>
      <c r="Q48" s="56"/>
      <c r="R48" s="8"/>
      <c r="S48" s="56"/>
      <c r="T48" s="19"/>
      <c r="U48" s="7"/>
      <c r="W48" s="119"/>
      <c r="X48" s="7">
        <f t="shared" si="20"/>
        <v>0</v>
      </c>
      <c r="Y48" s="14"/>
      <c r="AA48" s="20"/>
      <c r="AC48" s="15"/>
    </row>
    <row r="49" spans="1:29" ht="15.65" customHeight="1" x14ac:dyDescent="0.35">
      <c r="A49" s="1" t="s">
        <v>279</v>
      </c>
      <c r="B49" s="104" t="s">
        <v>228</v>
      </c>
      <c r="C49" s="126"/>
      <c r="D49" s="1" t="s">
        <v>257</v>
      </c>
      <c r="E49" s="78"/>
      <c r="F49" s="78"/>
      <c r="G49" s="1">
        <v>108</v>
      </c>
      <c r="H49" s="5">
        <f>E49/G49</f>
        <v>0</v>
      </c>
      <c r="I49" s="1">
        <v>0.77</v>
      </c>
      <c r="J49" s="1">
        <v>0.37</v>
      </c>
      <c r="K49" s="1">
        <v>0.23</v>
      </c>
      <c r="L49" s="1">
        <v>25.5</v>
      </c>
      <c r="M49" s="6">
        <f>H49*I49*J49*K49</f>
        <v>0</v>
      </c>
      <c r="N49" s="11">
        <v>1296</v>
      </c>
      <c r="O49" s="6">
        <f>E49/N49</f>
        <v>0</v>
      </c>
      <c r="P49" s="7">
        <f>H49*L49</f>
        <v>0</v>
      </c>
      <c r="Q49" s="56">
        <f>S49*0.85</f>
        <v>0.52190000000000003</v>
      </c>
      <c r="R49" s="8">
        <f>E49*Q49</f>
        <v>0</v>
      </c>
      <c r="S49" s="56">
        <v>0.61399999999999999</v>
      </c>
      <c r="T49" s="19">
        <v>2.4</v>
      </c>
      <c r="U49" s="7">
        <f>E49*T49</f>
        <v>0</v>
      </c>
      <c r="W49" s="119">
        <f t="shared" si="7"/>
        <v>3.3134399999999995</v>
      </c>
      <c r="X49" s="7">
        <f t="shared" si="20"/>
        <v>0</v>
      </c>
      <c r="AC49" s="15">
        <v>8423224784631</v>
      </c>
    </row>
    <row r="50" spans="1:29" ht="15.65" customHeight="1" x14ac:dyDescent="0.25">
      <c r="B50" s="159" t="s">
        <v>20</v>
      </c>
      <c r="C50" s="125" t="s">
        <v>330</v>
      </c>
      <c r="D50" s="9" t="s">
        <v>260</v>
      </c>
      <c r="E50" s="78"/>
      <c r="F50" s="78"/>
      <c r="G50" s="1">
        <v>108</v>
      </c>
      <c r="H50" s="5">
        <f>E50/G50</f>
        <v>0</v>
      </c>
      <c r="I50" s="1">
        <v>0.77</v>
      </c>
      <c r="J50" s="1">
        <v>0.37</v>
      </c>
      <c r="K50" s="1">
        <v>0.23</v>
      </c>
      <c r="L50" s="1">
        <v>25.5</v>
      </c>
      <c r="M50" s="6">
        <f>H50*I50*J50*K50</f>
        <v>0</v>
      </c>
      <c r="N50" s="11">
        <v>1296</v>
      </c>
      <c r="O50" s="6">
        <f>E50/N50</f>
        <v>0</v>
      </c>
      <c r="P50" s="7">
        <f>H50*L50</f>
        <v>0</v>
      </c>
      <c r="Q50" s="56">
        <v>0.64300000000000002</v>
      </c>
      <c r="R50" s="8">
        <f>E50*Q50</f>
        <v>0</v>
      </c>
      <c r="S50" s="56">
        <v>0.75700000000000001</v>
      </c>
      <c r="T50" s="19">
        <v>3.26</v>
      </c>
      <c r="U50" s="7">
        <f>E50*T50</f>
        <v>0</v>
      </c>
      <c r="W50" s="119">
        <f t="shared" si="7"/>
        <v>4.5007559999999991</v>
      </c>
      <c r="X50" s="7">
        <f t="shared" si="20"/>
        <v>0</v>
      </c>
      <c r="AC50" s="15">
        <v>8423224784631</v>
      </c>
    </row>
    <row r="51" spans="1:29" ht="15.65" customHeight="1" x14ac:dyDescent="0.25">
      <c r="B51" s="104" t="s">
        <v>84</v>
      </c>
      <c r="C51" s="125" t="s">
        <v>383</v>
      </c>
      <c r="D51" s="9" t="s">
        <v>280</v>
      </c>
      <c r="E51" s="78"/>
      <c r="F51" s="78"/>
      <c r="G51" s="1">
        <v>108</v>
      </c>
      <c r="H51" s="5">
        <f>E51/G51</f>
        <v>0</v>
      </c>
      <c r="I51" s="1">
        <v>0.77</v>
      </c>
      <c r="J51" s="1">
        <v>0.37</v>
      </c>
      <c r="K51" s="1">
        <v>0.23</v>
      </c>
      <c r="L51" s="1">
        <v>25.5</v>
      </c>
      <c r="M51" s="6">
        <f>H51*I51*J51*K51</f>
        <v>0</v>
      </c>
      <c r="N51" s="11">
        <v>1296</v>
      </c>
      <c r="O51" s="6">
        <f>E51/N51</f>
        <v>0</v>
      </c>
      <c r="P51" s="7">
        <f>H51*L51</f>
        <v>0</v>
      </c>
      <c r="Q51" s="56">
        <f>S51*0.85</f>
        <v>0.65449999999999997</v>
      </c>
      <c r="R51" s="8">
        <f>E51*Q51</f>
        <v>0</v>
      </c>
      <c r="S51" s="56">
        <v>0.77</v>
      </c>
      <c r="T51" s="19">
        <v>3.31</v>
      </c>
      <c r="U51" s="7">
        <f>E51*T51</f>
        <v>0</v>
      </c>
      <c r="W51" s="119">
        <f t="shared" si="7"/>
        <v>4.5697859999999997</v>
      </c>
      <c r="X51" s="7">
        <f t="shared" si="20"/>
        <v>0</v>
      </c>
      <c r="AC51" s="15">
        <v>8423224784617</v>
      </c>
    </row>
    <row r="52" spans="1:29" ht="15.65" customHeight="1" x14ac:dyDescent="0.25">
      <c r="B52" s="104"/>
      <c r="C52" s="126"/>
      <c r="D52" s="9"/>
      <c r="E52" s="78"/>
      <c r="F52" s="78"/>
      <c r="H52" s="5"/>
      <c r="N52" s="11"/>
      <c r="P52" s="7"/>
      <c r="Q52" s="56"/>
      <c r="R52" s="8"/>
      <c r="S52" s="56"/>
      <c r="T52" s="19"/>
      <c r="U52" s="7"/>
      <c r="W52" s="119"/>
      <c r="X52" s="7">
        <f t="shared" si="20"/>
        <v>0</v>
      </c>
      <c r="AC52" s="15"/>
    </row>
    <row r="53" spans="1:29" ht="15.65" customHeight="1" x14ac:dyDescent="0.25">
      <c r="A53" s="1" t="s">
        <v>281</v>
      </c>
      <c r="B53" s="104" t="s">
        <v>132</v>
      </c>
      <c r="C53" s="125" t="s">
        <v>211</v>
      </c>
      <c r="D53" s="1" t="s">
        <v>257</v>
      </c>
      <c r="E53" s="78"/>
      <c r="F53" s="78"/>
      <c r="G53" s="1">
        <v>100</v>
      </c>
      <c r="H53" s="5">
        <f>E53/G53</f>
        <v>0</v>
      </c>
      <c r="I53" s="1">
        <v>0.6</v>
      </c>
      <c r="J53" s="1">
        <v>0.46</v>
      </c>
      <c r="K53" s="1">
        <v>0.23</v>
      </c>
      <c r="L53" s="1">
        <v>23</v>
      </c>
      <c r="M53" s="6">
        <f>H53*I53*J53*K53</f>
        <v>0</v>
      </c>
      <c r="N53" s="11">
        <v>1152</v>
      </c>
      <c r="O53" s="6">
        <f>E53/N53</f>
        <v>0</v>
      </c>
      <c r="P53" s="7">
        <f>H53*L53</f>
        <v>0</v>
      </c>
      <c r="Q53" s="56">
        <f>S53*0.85</f>
        <v>0.71144999999999992</v>
      </c>
      <c r="R53" s="8">
        <f>E53*Q53</f>
        <v>0</v>
      </c>
      <c r="S53" s="56">
        <v>0.83699999999999997</v>
      </c>
      <c r="T53" s="19">
        <v>3.3</v>
      </c>
      <c r="U53" s="7">
        <f>E53*T53</f>
        <v>0</v>
      </c>
      <c r="W53" s="119">
        <f t="shared" si="7"/>
        <v>4.5559799999999999</v>
      </c>
      <c r="X53" s="7">
        <f t="shared" si="20"/>
        <v>0</v>
      </c>
      <c r="AC53" s="15">
        <v>8423224784785</v>
      </c>
    </row>
    <row r="54" spans="1:29" ht="15.65" customHeight="1" x14ac:dyDescent="0.25">
      <c r="B54" s="104" t="s">
        <v>21</v>
      </c>
      <c r="C54" s="125" t="s">
        <v>229</v>
      </c>
      <c r="D54" s="9" t="s">
        <v>260</v>
      </c>
      <c r="E54" s="78"/>
      <c r="F54" s="78"/>
      <c r="G54" s="1">
        <v>72</v>
      </c>
      <c r="H54" s="5">
        <f>E54/G54</f>
        <v>0</v>
      </c>
      <c r="I54" s="1">
        <v>0.6</v>
      </c>
      <c r="J54" s="1">
        <v>0.46</v>
      </c>
      <c r="K54" s="1">
        <v>0.23</v>
      </c>
      <c r="L54" s="1">
        <v>23</v>
      </c>
      <c r="M54" s="6">
        <f>H54*I54*J54*K54</f>
        <v>0</v>
      </c>
      <c r="N54" s="11">
        <v>1152</v>
      </c>
      <c r="O54" s="6">
        <f>E54/N54</f>
        <v>0</v>
      </c>
      <c r="P54" s="7">
        <f>H54*L54</f>
        <v>0</v>
      </c>
      <c r="Q54" s="56">
        <v>0.873</v>
      </c>
      <c r="R54" s="8">
        <f>E54*Q54</f>
        <v>0</v>
      </c>
      <c r="S54" s="56">
        <v>1.0269999999999999</v>
      </c>
      <c r="T54" s="3">
        <v>4.3899999999999997</v>
      </c>
      <c r="U54" s="7">
        <f>E54*T54</f>
        <v>0</v>
      </c>
      <c r="W54" s="119">
        <f t="shared" si="7"/>
        <v>6.0608339999999989</v>
      </c>
      <c r="X54" s="7">
        <f t="shared" si="20"/>
        <v>0</v>
      </c>
      <c r="AC54" s="15">
        <v>8423224784785</v>
      </c>
    </row>
    <row r="55" spans="1:29" ht="15.65" customHeight="1" x14ac:dyDescent="0.25">
      <c r="B55" s="104" t="s">
        <v>22</v>
      </c>
      <c r="C55" s="125" t="s">
        <v>332</v>
      </c>
      <c r="D55" s="9" t="s">
        <v>280</v>
      </c>
      <c r="E55" s="78"/>
      <c r="F55" s="78"/>
      <c r="G55" s="1">
        <v>72</v>
      </c>
      <c r="H55" s="5">
        <f>E55/G55</f>
        <v>0</v>
      </c>
      <c r="I55" s="1">
        <v>0.6</v>
      </c>
      <c r="J55" s="1">
        <v>0.46</v>
      </c>
      <c r="K55" s="1">
        <v>0.23</v>
      </c>
      <c r="L55" s="1">
        <v>23</v>
      </c>
      <c r="M55" s="6">
        <f>H55*I55*J55*K55</f>
        <v>0</v>
      </c>
      <c r="N55" s="11">
        <v>1152</v>
      </c>
      <c r="O55" s="6">
        <f>E55/N55</f>
        <v>0</v>
      </c>
      <c r="P55" s="7">
        <f>H55*L55</f>
        <v>0</v>
      </c>
      <c r="Q55" s="56">
        <v>0.89300000000000002</v>
      </c>
      <c r="R55" s="8">
        <f>E55*Q55</f>
        <v>0</v>
      </c>
      <c r="S55" s="56">
        <v>1.0509999999999999</v>
      </c>
      <c r="T55" s="3">
        <v>4.47</v>
      </c>
      <c r="U55" s="7">
        <f>E55*T55</f>
        <v>0</v>
      </c>
      <c r="W55" s="119">
        <f t="shared" si="7"/>
        <v>6.1712819999999997</v>
      </c>
      <c r="X55" s="7">
        <f t="shared" si="20"/>
        <v>0</v>
      </c>
      <c r="AC55" s="15">
        <v>8423224784761</v>
      </c>
    </row>
    <row r="56" spans="1:29" ht="15.65" customHeight="1" x14ac:dyDescent="0.25">
      <c r="B56" s="104"/>
      <c r="C56" s="126"/>
      <c r="D56" s="9"/>
      <c r="E56" s="78"/>
      <c r="F56" s="78"/>
      <c r="H56" s="5"/>
      <c r="N56" s="11"/>
      <c r="P56" s="7"/>
      <c r="Q56" s="56"/>
      <c r="R56" s="8"/>
      <c r="S56" s="56"/>
      <c r="T56" s="3"/>
      <c r="U56" s="7"/>
      <c r="W56" s="119">
        <f t="shared" si="7"/>
        <v>0</v>
      </c>
      <c r="X56" s="7">
        <f t="shared" si="20"/>
        <v>0</v>
      </c>
      <c r="AC56" s="15"/>
    </row>
    <row r="57" spans="1:29" ht="15.65" customHeight="1" x14ac:dyDescent="0.25">
      <c r="A57" s="1" t="s">
        <v>282</v>
      </c>
      <c r="B57" s="104" t="s">
        <v>85</v>
      </c>
      <c r="C57" s="126"/>
      <c r="D57" s="1" t="s">
        <v>257</v>
      </c>
      <c r="E57" s="78"/>
      <c r="F57" s="78"/>
      <c r="G57" s="1">
        <v>108</v>
      </c>
      <c r="H57" s="5">
        <f t="shared" ref="H57:H70" si="21">E57/G57</f>
        <v>0</v>
      </c>
      <c r="I57" s="6">
        <v>0.4</v>
      </c>
      <c r="J57" s="6">
        <v>0.3</v>
      </c>
      <c r="K57" s="1">
        <v>0.21</v>
      </c>
      <c r="L57" s="21">
        <v>25</v>
      </c>
      <c r="M57" s="6">
        <f t="shared" ref="M57:M70" si="22">H57*I57*J57*K57</f>
        <v>0</v>
      </c>
      <c r="N57" s="11"/>
      <c r="P57" s="7">
        <f t="shared" ref="P57:P70" si="23">H57*L57</f>
        <v>0</v>
      </c>
      <c r="Q57" s="56">
        <f>S57*0.85</f>
        <v>0.65195000000000003</v>
      </c>
      <c r="R57" s="8">
        <f t="shared" ref="R57:R70" si="24">E57*Q57</f>
        <v>0</v>
      </c>
      <c r="S57" s="56">
        <v>0.76700000000000002</v>
      </c>
      <c r="T57" s="20">
        <v>3.2</v>
      </c>
      <c r="U57" s="7">
        <f t="shared" ref="U57:U70" si="25">E57*T57</f>
        <v>0</v>
      </c>
      <c r="W57" s="119">
        <f t="shared" si="7"/>
        <v>4.4179199999999996</v>
      </c>
      <c r="X57" s="7">
        <f t="shared" si="20"/>
        <v>0</v>
      </c>
      <c r="AC57" s="15"/>
    </row>
    <row r="58" spans="1:29" ht="15.65" customHeight="1" x14ac:dyDescent="0.25">
      <c r="B58" s="104" t="s">
        <v>23</v>
      </c>
      <c r="C58" s="126"/>
      <c r="D58" s="9" t="s">
        <v>258</v>
      </c>
      <c r="E58" s="78"/>
      <c r="F58" s="78"/>
      <c r="G58" s="1">
        <v>108</v>
      </c>
      <c r="H58" s="5">
        <f t="shared" si="21"/>
        <v>0</v>
      </c>
      <c r="I58" s="1">
        <v>0.77</v>
      </c>
      <c r="J58" s="1">
        <v>0.37</v>
      </c>
      <c r="K58" s="1">
        <v>0.23</v>
      </c>
      <c r="L58" s="1">
        <v>22.5</v>
      </c>
      <c r="M58" s="6">
        <f t="shared" si="22"/>
        <v>0</v>
      </c>
      <c r="N58" s="11">
        <v>1296</v>
      </c>
      <c r="O58" s="6">
        <f t="shared" ref="O58:O70" si="26">E58/N58</f>
        <v>0</v>
      </c>
      <c r="P58" s="7">
        <f t="shared" si="23"/>
        <v>0</v>
      </c>
      <c r="Q58" s="56">
        <f t="shared" ref="Q58:Q90" si="27">S58*0.85</f>
        <v>0.77349999999999997</v>
      </c>
      <c r="R58" s="8">
        <f t="shared" si="24"/>
        <v>0</v>
      </c>
      <c r="S58" s="56">
        <v>0.91</v>
      </c>
      <c r="T58" s="20">
        <v>3.92</v>
      </c>
      <c r="U58" s="7">
        <f t="shared" si="25"/>
        <v>0</v>
      </c>
      <c r="V58" s="23"/>
      <c r="W58" s="119">
        <f t="shared" si="7"/>
        <v>5.4119519999999985</v>
      </c>
      <c r="X58" s="7">
        <f t="shared" si="20"/>
        <v>0</v>
      </c>
      <c r="Y58" s="14"/>
      <c r="AC58" s="15">
        <v>8423224807828</v>
      </c>
    </row>
    <row r="59" spans="1:29" ht="15.65" customHeight="1" x14ac:dyDescent="0.25">
      <c r="B59" s="104" t="s">
        <v>24</v>
      </c>
      <c r="C59" s="125" t="s">
        <v>329</v>
      </c>
      <c r="D59" s="9" t="s">
        <v>260</v>
      </c>
      <c r="E59" s="78"/>
      <c r="F59" s="78"/>
      <c r="G59" s="1">
        <v>108</v>
      </c>
      <c r="H59" s="5">
        <f t="shared" si="21"/>
        <v>0</v>
      </c>
      <c r="I59" s="1">
        <v>0.77</v>
      </c>
      <c r="J59" s="1">
        <v>0.37</v>
      </c>
      <c r="K59" s="1">
        <v>0.23</v>
      </c>
      <c r="L59" s="1">
        <v>22.5</v>
      </c>
      <c r="M59" s="6">
        <f t="shared" si="22"/>
        <v>0</v>
      </c>
      <c r="N59" s="11">
        <v>1296</v>
      </c>
      <c r="O59" s="6">
        <f t="shared" si="26"/>
        <v>0</v>
      </c>
      <c r="P59" s="7">
        <f t="shared" si="23"/>
        <v>0</v>
      </c>
      <c r="Q59" s="56">
        <f t="shared" si="27"/>
        <v>0.77349999999999997</v>
      </c>
      <c r="R59" s="8">
        <f t="shared" si="24"/>
        <v>0</v>
      </c>
      <c r="S59" s="56">
        <v>0.91</v>
      </c>
      <c r="T59" s="20">
        <v>3.92</v>
      </c>
      <c r="U59" s="7">
        <f t="shared" si="25"/>
        <v>0</v>
      </c>
      <c r="V59" s="23"/>
      <c r="W59" s="119">
        <f t="shared" si="7"/>
        <v>5.4119519999999985</v>
      </c>
      <c r="X59" s="7">
        <f t="shared" si="20"/>
        <v>0</v>
      </c>
      <c r="Y59" s="14"/>
      <c r="AA59" s="20"/>
      <c r="AC59" s="15">
        <v>8423224784662</v>
      </c>
    </row>
    <row r="60" spans="1:29" ht="15.65" customHeight="1" x14ac:dyDescent="0.25">
      <c r="A60" s="1" t="s">
        <v>278</v>
      </c>
      <c r="B60" s="104" t="s">
        <v>86</v>
      </c>
      <c r="C60" s="126"/>
      <c r="D60" s="9" t="s">
        <v>271</v>
      </c>
      <c r="E60" s="78"/>
      <c r="F60" s="78"/>
      <c r="G60" s="1">
        <v>108</v>
      </c>
      <c r="H60" s="5">
        <f t="shared" si="21"/>
        <v>0</v>
      </c>
      <c r="I60" s="1">
        <v>0.77</v>
      </c>
      <c r="J60" s="1">
        <v>0.37</v>
      </c>
      <c r="K60" s="1">
        <v>0.23</v>
      </c>
      <c r="L60" s="1">
        <v>22.5</v>
      </c>
      <c r="M60" s="6">
        <f t="shared" si="22"/>
        <v>0</v>
      </c>
      <c r="N60" s="11">
        <v>1296</v>
      </c>
      <c r="O60" s="6">
        <f t="shared" si="26"/>
        <v>0</v>
      </c>
      <c r="P60" s="7">
        <f t="shared" si="23"/>
        <v>0</v>
      </c>
      <c r="Q60" s="56">
        <f t="shared" si="27"/>
        <v>0.77349999999999997</v>
      </c>
      <c r="R60" s="8">
        <f t="shared" si="24"/>
        <v>0</v>
      </c>
      <c r="S60" s="56">
        <v>0.91</v>
      </c>
      <c r="T60" s="20">
        <v>3.92</v>
      </c>
      <c r="U60" s="7">
        <f t="shared" si="25"/>
        <v>0</v>
      </c>
      <c r="W60" s="119">
        <f t="shared" si="7"/>
        <v>5.4119519999999985</v>
      </c>
      <c r="X60" s="7">
        <f t="shared" si="20"/>
        <v>0</v>
      </c>
      <c r="AC60" s="15">
        <v>8423224835784</v>
      </c>
    </row>
    <row r="61" spans="1:29" ht="15.65" customHeight="1" x14ac:dyDescent="0.25">
      <c r="A61" s="1" t="s">
        <v>87</v>
      </c>
      <c r="B61" s="104" t="s">
        <v>88</v>
      </c>
      <c r="C61" s="126"/>
      <c r="D61" s="9" t="s">
        <v>283</v>
      </c>
      <c r="E61" s="78"/>
      <c r="F61" s="78"/>
      <c r="G61" s="1">
        <v>108</v>
      </c>
      <c r="H61" s="5">
        <f t="shared" si="21"/>
        <v>0</v>
      </c>
      <c r="I61" s="1">
        <v>0.77</v>
      </c>
      <c r="J61" s="1">
        <v>0.37</v>
      </c>
      <c r="K61" s="1">
        <v>0.23</v>
      </c>
      <c r="L61" s="1">
        <v>22.5</v>
      </c>
      <c r="M61" s="6">
        <f t="shared" si="22"/>
        <v>0</v>
      </c>
      <c r="N61" s="11">
        <v>1296</v>
      </c>
      <c r="O61" s="6">
        <f t="shared" si="26"/>
        <v>0</v>
      </c>
      <c r="P61" s="7">
        <f t="shared" si="23"/>
        <v>0</v>
      </c>
      <c r="Q61" s="56">
        <f t="shared" si="27"/>
        <v>0.78454999999999997</v>
      </c>
      <c r="R61" s="8">
        <f t="shared" si="24"/>
        <v>0</v>
      </c>
      <c r="S61" s="56">
        <v>0.92300000000000004</v>
      </c>
      <c r="T61" s="20">
        <v>3.92</v>
      </c>
      <c r="U61" s="7">
        <f t="shared" si="25"/>
        <v>0</v>
      </c>
      <c r="W61" s="119">
        <f t="shared" si="7"/>
        <v>5.4119519999999985</v>
      </c>
      <c r="X61" s="7">
        <f t="shared" si="20"/>
        <v>0</v>
      </c>
      <c r="AC61" s="15">
        <v>8423224835807</v>
      </c>
    </row>
    <row r="62" spans="1:29" ht="15.65" customHeight="1" x14ac:dyDescent="0.25">
      <c r="A62" s="1" t="s">
        <v>89</v>
      </c>
      <c r="B62" s="104" t="s">
        <v>90</v>
      </c>
      <c r="C62" s="126"/>
      <c r="D62" s="9" t="s">
        <v>284</v>
      </c>
      <c r="E62" s="78"/>
      <c r="F62" s="78"/>
      <c r="G62" s="1">
        <v>108</v>
      </c>
      <c r="H62" s="5">
        <f t="shared" si="21"/>
        <v>0</v>
      </c>
      <c r="I62" s="1">
        <v>0.77</v>
      </c>
      <c r="J62" s="1">
        <v>0.37</v>
      </c>
      <c r="K62" s="1">
        <v>0.23</v>
      </c>
      <c r="L62" s="1">
        <v>22.5</v>
      </c>
      <c r="M62" s="6">
        <f t="shared" si="22"/>
        <v>0</v>
      </c>
      <c r="N62" s="11">
        <v>1296</v>
      </c>
      <c r="O62" s="6">
        <f t="shared" si="26"/>
        <v>0</v>
      </c>
      <c r="P62" s="7">
        <f t="shared" si="23"/>
        <v>0</v>
      </c>
      <c r="Q62" s="56">
        <f t="shared" si="27"/>
        <v>0.78454999999999997</v>
      </c>
      <c r="R62" s="8">
        <f t="shared" si="24"/>
        <v>0</v>
      </c>
      <c r="S62" s="56">
        <v>0.92300000000000004</v>
      </c>
      <c r="T62" s="20">
        <v>3.92</v>
      </c>
      <c r="U62" s="7">
        <f t="shared" si="25"/>
        <v>0</v>
      </c>
      <c r="W62" s="119">
        <f t="shared" si="7"/>
        <v>5.4119519999999985</v>
      </c>
      <c r="X62" s="7">
        <f t="shared" si="20"/>
        <v>0</v>
      </c>
      <c r="AC62" s="15">
        <v>8423224835814</v>
      </c>
    </row>
    <row r="63" spans="1:29" ht="15.65" customHeight="1" x14ac:dyDescent="0.25">
      <c r="B63" s="104" t="s">
        <v>25</v>
      </c>
      <c r="C63" s="126"/>
      <c r="D63" s="9" t="s">
        <v>276</v>
      </c>
      <c r="E63" s="78"/>
      <c r="F63" s="78"/>
      <c r="G63" s="1">
        <v>108</v>
      </c>
      <c r="H63" s="5">
        <f t="shared" si="21"/>
        <v>0</v>
      </c>
      <c r="I63" s="1">
        <v>0.77</v>
      </c>
      <c r="J63" s="1">
        <v>0.37</v>
      </c>
      <c r="K63" s="1">
        <v>0.23</v>
      </c>
      <c r="L63" s="1">
        <v>22.5</v>
      </c>
      <c r="M63" s="6">
        <f t="shared" si="22"/>
        <v>0</v>
      </c>
      <c r="N63" s="11">
        <v>1296</v>
      </c>
      <c r="O63" s="6">
        <f t="shared" si="26"/>
        <v>0</v>
      </c>
      <c r="P63" s="7">
        <f t="shared" si="23"/>
        <v>0</v>
      </c>
      <c r="Q63" s="56">
        <f t="shared" si="27"/>
        <v>0.78454999999999997</v>
      </c>
      <c r="R63" s="8">
        <f t="shared" si="24"/>
        <v>0</v>
      </c>
      <c r="S63" s="56">
        <v>0.92300000000000004</v>
      </c>
      <c r="T63" s="20">
        <v>3.97</v>
      </c>
      <c r="U63" s="7">
        <f t="shared" si="25"/>
        <v>0</v>
      </c>
      <c r="V63" s="4"/>
      <c r="W63" s="119">
        <f t="shared" si="7"/>
        <v>5.4809819999999991</v>
      </c>
      <c r="X63" s="7">
        <f t="shared" si="20"/>
        <v>0</v>
      </c>
      <c r="Y63" s="14"/>
      <c r="Z63" s="3">
        <v>1.4E-2</v>
      </c>
      <c r="AA63" s="20">
        <f>E63*Z63</f>
        <v>0</v>
      </c>
      <c r="AC63" s="15">
        <v>8423224807866</v>
      </c>
    </row>
    <row r="64" spans="1:29" ht="15.65" customHeight="1" x14ac:dyDescent="0.25">
      <c r="B64" s="104" t="s">
        <v>26</v>
      </c>
      <c r="C64" s="126"/>
      <c r="D64" s="9" t="s">
        <v>261</v>
      </c>
      <c r="E64" s="78"/>
      <c r="F64" s="78"/>
      <c r="G64" s="1">
        <v>108</v>
      </c>
      <c r="H64" s="5">
        <f t="shared" si="21"/>
        <v>0</v>
      </c>
      <c r="I64" s="1">
        <v>0.77</v>
      </c>
      <c r="J64" s="1">
        <v>0.37</v>
      </c>
      <c r="K64" s="1">
        <v>0.23</v>
      </c>
      <c r="L64" s="1">
        <v>22.5</v>
      </c>
      <c r="M64" s="6">
        <f t="shared" si="22"/>
        <v>0</v>
      </c>
      <c r="N64" s="11">
        <v>1296</v>
      </c>
      <c r="O64" s="6">
        <f t="shared" si="26"/>
        <v>0</v>
      </c>
      <c r="P64" s="7">
        <f t="shared" si="23"/>
        <v>0</v>
      </c>
      <c r="Q64" s="56">
        <f t="shared" si="27"/>
        <v>0.78454999999999997</v>
      </c>
      <c r="R64" s="8">
        <f t="shared" si="24"/>
        <v>0</v>
      </c>
      <c r="S64" s="56">
        <v>0.92300000000000004</v>
      </c>
      <c r="T64" s="20">
        <v>3.97</v>
      </c>
      <c r="U64" s="7">
        <f t="shared" si="25"/>
        <v>0</v>
      </c>
      <c r="W64" s="119">
        <f t="shared" si="7"/>
        <v>5.4809819999999991</v>
      </c>
      <c r="X64" s="7">
        <f t="shared" si="20"/>
        <v>0</v>
      </c>
      <c r="AC64" s="15">
        <v>8423224807859</v>
      </c>
    </row>
    <row r="65" spans="1:29" ht="15.65" customHeight="1" x14ac:dyDescent="0.25">
      <c r="B65" s="104" t="s">
        <v>27</v>
      </c>
      <c r="C65" s="126"/>
      <c r="D65" s="9" t="s">
        <v>262</v>
      </c>
      <c r="E65" s="78"/>
      <c r="F65" s="78"/>
      <c r="G65" s="1">
        <v>108</v>
      </c>
      <c r="H65" s="5">
        <f t="shared" si="21"/>
        <v>0</v>
      </c>
      <c r="I65" s="1">
        <v>0.77</v>
      </c>
      <c r="J65" s="1">
        <v>0.37</v>
      </c>
      <c r="K65" s="1">
        <v>0.23</v>
      </c>
      <c r="L65" s="1">
        <v>22.5</v>
      </c>
      <c r="M65" s="6">
        <f t="shared" si="22"/>
        <v>0</v>
      </c>
      <c r="N65" s="11">
        <v>1296</v>
      </c>
      <c r="O65" s="6">
        <f t="shared" si="26"/>
        <v>0</v>
      </c>
      <c r="P65" s="7">
        <f t="shared" si="23"/>
        <v>0</v>
      </c>
      <c r="Q65" s="56">
        <f t="shared" si="27"/>
        <v>0.78454999999999997</v>
      </c>
      <c r="R65" s="8">
        <f t="shared" si="24"/>
        <v>0</v>
      </c>
      <c r="S65" s="56">
        <v>0.92300000000000004</v>
      </c>
      <c r="T65" s="20">
        <v>3.97</v>
      </c>
      <c r="U65" s="7">
        <f t="shared" si="25"/>
        <v>0</v>
      </c>
      <c r="W65" s="119">
        <f t="shared" si="7"/>
        <v>5.4809819999999991</v>
      </c>
      <c r="X65" s="7">
        <f t="shared" si="20"/>
        <v>0</v>
      </c>
      <c r="AC65" s="15">
        <v>8423224807842</v>
      </c>
    </row>
    <row r="66" spans="1:29" ht="15.65" customHeight="1" x14ac:dyDescent="0.25">
      <c r="B66" s="104" t="s">
        <v>28</v>
      </c>
      <c r="C66" s="126" t="s">
        <v>393</v>
      </c>
      <c r="D66" s="9" t="s">
        <v>267</v>
      </c>
      <c r="E66" s="78"/>
      <c r="F66" s="78"/>
      <c r="G66" s="1">
        <v>108</v>
      </c>
      <c r="H66" s="5">
        <f t="shared" si="21"/>
        <v>0</v>
      </c>
      <c r="I66" s="1">
        <v>0.77</v>
      </c>
      <c r="J66" s="1">
        <v>0.37</v>
      </c>
      <c r="K66" s="1">
        <v>0.23</v>
      </c>
      <c r="L66" s="1">
        <v>22.5</v>
      </c>
      <c r="M66" s="6">
        <f t="shared" si="22"/>
        <v>0</v>
      </c>
      <c r="N66" s="11">
        <v>1296</v>
      </c>
      <c r="O66" s="6">
        <f t="shared" si="26"/>
        <v>0</v>
      </c>
      <c r="P66" s="7">
        <f t="shared" si="23"/>
        <v>0</v>
      </c>
      <c r="Q66" s="56">
        <f t="shared" si="27"/>
        <v>0.78454999999999997</v>
      </c>
      <c r="R66" s="8">
        <f t="shared" si="24"/>
        <v>0</v>
      </c>
      <c r="S66" s="56">
        <v>0.92300000000000004</v>
      </c>
      <c r="T66" s="20">
        <v>3.97</v>
      </c>
      <c r="U66" s="7">
        <f t="shared" si="25"/>
        <v>0</v>
      </c>
      <c r="W66" s="119">
        <f t="shared" si="7"/>
        <v>5.4809819999999991</v>
      </c>
      <c r="X66" s="7">
        <f t="shared" si="20"/>
        <v>0</v>
      </c>
      <c r="AC66" s="15">
        <v>8423224807835</v>
      </c>
    </row>
    <row r="67" spans="1:29" ht="15.65" customHeight="1" x14ac:dyDescent="0.25">
      <c r="B67" s="104" t="s">
        <v>29</v>
      </c>
      <c r="C67" s="126"/>
      <c r="D67" s="9" t="s">
        <v>285</v>
      </c>
      <c r="E67" s="78"/>
      <c r="F67" s="78"/>
      <c r="G67" s="1">
        <v>108</v>
      </c>
      <c r="H67" s="5">
        <f t="shared" si="21"/>
        <v>0</v>
      </c>
      <c r="I67" s="1">
        <v>0.77</v>
      </c>
      <c r="J67" s="1">
        <v>0.37</v>
      </c>
      <c r="K67" s="1">
        <v>0.23</v>
      </c>
      <c r="L67" s="1">
        <v>22.5</v>
      </c>
      <c r="M67" s="6">
        <f t="shared" si="22"/>
        <v>0</v>
      </c>
      <c r="N67" s="11">
        <v>1296</v>
      </c>
      <c r="O67" s="6">
        <f t="shared" si="26"/>
        <v>0</v>
      </c>
      <c r="P67" s="7">
        <f t="shared" si="23"/>
        <v>0</v>
      </c>
      <c r="Q67" s="56">
        <f t="shared" si="27"/>
        <v>0.78454999999999997</v>
      </c>
      <c r="R67" s="8">
        <f t="shared" si="24"/>
        <v>0</v>
      </c>
      <c r="S67" s="56">
        <v>0.92300000000000004</v>
      </c>
      <c r="T67" s="20">
        <v>3.97</v>
      </c>
      <c r="U67" s="7">
        <f t="shared" si="25"/>
        <v>0</v>
      </c>
      <c r="W67" s="119">
        <f t="shared" si="7"/>
        <v>5.4809819999999991</v>
      </c>
      <c r="X67" s="7">
        <f t="shared" si="20"/>
        <v>0</v>
      </c>
      <c r="AC67" s="15">
        <v>8423224784648</v>
      </c>
    </row>
    <row r="68" spans="1:29" ht="15.65" customHeight="1" x14ac:dyDescent="0.35">
      <c r="A68" s="1" t="s">
        <v>286</v>
      </c>
      <c r="B68" s="104" t="s">
        <v>91</v>
      </c>
      <c r="C68" s="126"/>
      <c r="D68" s="9" t="s">
        <v>277</v>
      </c>
      <c r="E68" s="78"/>
      <c r="F68" s="78"/>
      <c r="G68" s="1">
        <v>108</v>
      </c>
      <c r="H68" s="5">
        <f t="shared" si="21"/>
        <v>0</v>
      </c>
      <c r="I68" s="1">
        <v>0.77</v>
      </c>
      <c r="J68" s="1">
        <v>0.37</v>
      </c>
      <c r="K68" s="1">
        <v>0.23</v>
      </c>
      <c r="L68" s="1">
        <v>22.5</v>
      </c>
      <c r="M68" s="6">
        <f t="shared" si="22"/>
        <v>0</v>
      </c>
      <c r="N68" s="11">
        <v>1296</v>
      </c>
      <c r="O68" s="6">
        <f t="shared" si="26"/>
        <v>0</v>
      </c>
      <c r="P68" s="7">
        <f t="shared" si="23"/>
        <v>0</v>
      </c>
      <c r="Q68" s="56">
        <f t="shared" si="27"/>
        <v>0.8619</v>
      </c>
      <c r="R68" s="8">
        <f t="shared" si="24"/>
        <v>0</v>
      </c>
      <c r="S68" s="56">
        <v>1.014</v>
      </c>
      <c r="T68" s="20">
        <v>4.2</v>
      </c>
      <c r="U68" s="7">
        <f t="shared" si="25"/>
        <v>0</v>
      </c>
      <c r="V68" s="4"/>
      <c r="W68" s="119">
        <f t="shared" si="7"/>
        <v>5.798519999999999</v>
      </c>
      <c r="X68" s="7">
        <f t="shared" si="20"/>
        <v>0</v>
      </c>
      <c r="Y68" s="14"/>
      <c r="Z68" s="3">
        <v>1.4E-2</v>
      </c>
      <c r="AA68" s="20">
        <f>E68*Z68</f>
        <v>0</v>
      </c>
      <c r="AC68" s="15">
        <v>8423224835791</v>
      </c>
    </row>
    <row r="69" spans="1:29" ht="15.65" customHeight="1" x14ac:dyDescent="0.25">
      <c r="A69" s="1" t="s">
        <v>92</v>
      </c>
      <c r="B69" s="104" t="s">
        <v>93</v>
      </c>
      <c r="C69" s="125" t="s">
        <v>384</v>
      </c>
      <c r="D69" s="9" t="s">
        <v>263</v>
      </c>
      <c r="E69" s="78"/>
      <c r="F69" s="78"/>
      <c r="G69" s="1">
        <v>108</v>
      </c>
      <c r="H69" s="5">
        <f t="shared" si="21"/>
        <v>0</v>
      </c>
      <c r="I69" s="1">
        <v>0.77</v>
      </c>
      <c r="J69" s="1">
        <v>0.37</v>
      </c>
      <c r="K69" s="1">
        <v>0.23</v>
      </c>
      <c r="L69" s="1">
        <v>22.5</v>
      </c>
      <c r="M69" s="6">
        <f t="shared" si="22"/>
        <v>0</v>
      </c>
      <c r="N69" s="11">
        <v>1296</v>
      </c>
      <c r="O69" s="6">
        <f t="shared" si="26"/>
        <v>0</v>
      </c>
      <c r="P69" s="7">
        <f t="shared" si="23"/>
        <v>0</v>
      </c>
      <c r="Q69" s="56">
        <f t="shared" si="27"/>
        <v>0.8619</v>
      </c>
      <c r="R69" s="8">
        <f t="shared" si="24"/>
        <v>0</v>
      </c>
      <c r="S69" s="56">
        <v>1.014</v>
      </c>
      <c r="T69" s="20">
        <v>4.2</v>
      </c>
      <c r="U69" s="7">
        <f t="shared" si="25"/>
        <v>0</v>
      </c>
      <c r="W69" s="119">
        <f t="shared" si="7"/>
        <v>5.798519999999999</v>
      </c>
      <c r="X69" s="7">
        <f t="shared" ref="X69:X100" si="28">E69*W69</f>
        <v>0</v>
      </c>
      <c r="AC69" s="15">
        <v>8423224835838</v>
      </c>
    </row>
    <row r="70" spans="1:29" ht="15.65" customHeight="1" x14ac:dyDescent="0.25">
      <c r="A70" s="22" t="s">
        <v>52</v>
      </c>
      <c r="B70" s="104" t="s">
        <v>94</v>
      </c>
      <c r="C70" s="126" t="s">
        <v>394</v>
      </c>
      <c r="D70" s="9" t="s">
        <v>287</v>
      </c>
      <c r="E70" s="78"/>
      <c r="F70" s="78"/>
      <c r="G70" s="1">
        <v>108</v>
      </c>
      <c r="H70" s="5">
        <f t="shared" si="21"/>
        <v>0</v>
      </c>
      <c r="I70" s="1">
        <v>0.77</v>
      </c>
      <c r="J70" s="1">
        <v>0.37</v>
      </c>
      <c r="K70" s="1">
        <v>0.23</v>
      </c>
      <c r="L70" s="1">
        <v>22.5</v>
      </c>
      <c r="M70" s="6">
        <f t="shared" si="22"/>
        <v>0</v>
      </c>
      <c r="N70" s="11">
        <v>1296</v>
      </c>
      <c r="O70" s="6">
        <f t="shared" si="26"/>
        <v>0</v>
      </c>
      <c r="P70" s="7">
        <f t="shared" si="23"/>
        <v>0</v>
      </c>
      <c r="Q70" s="56">
        <f t="shared" si="27"/>
        <v>0.8619</v>
      </c>
      <c r="R70" s="8">
        <f t="shared" si="24"/>
        <v>0</v>
      </c>
      <c r="S70" s="56">
        <v>1.014</v>
      </c>
      <c r="T70" s="20">
        <v>4.2</v>
      </c>
      <c r="U70" s="7">
        <f t="shared" si="25"/>
        <v>0</v>
      </c>
      <c r="W70" s="119">
        <f t="shared" ref="W70:W93" si="29">T70*1.17*1.18</f>
        <v>5.798519999999999</v>
      </c>
      <c r="X70" s="7">
        <f t="shared" si="28"/>
        <v>0</v>
      </c>
      <c r="AC70" s="15">
        <v>8423224835821</v>
      </c>
    </row>
    <row r="71" spans="1:29" ht="15.65" customHeight="1" x14ac:dyDescent="0.25">
      <c r="B71" s="104"/>
      <c r="C71" s="126"/>
      <c r="D71" s="9"/>
      <c r="E71" s="78"/>
      <c r="F71" s="78"/>
      <c r="H71" s="5"/>
      <c r="N71" s="11"/>
      <c r="Q71" s="56"/>
      <c r="R71" s="8"/>
      <c r="S71" s="56"/>
      <c r="T71" s="3"/>
      <c r="U71" s="7"/>
      <c r="W71" s="119">
        <f t="shared" si="29"/>
        <v>0</v>
      </c>
      <c r="X71" s="7">
        <f t="shared" si="28"/>
        <v>0</v>
      </c>
      <c r="AC71" s="15"/>
    </row>
    <row r="72" spans="1:29" ht="15.65" customHeight="1" x14ac:dyDescent="0.35">
      <c r="A72" s="1" t="s">
        <v>288</v>
      </c>
      <c r="B72" s="104" t="s">
        <v>30</v>
      </c>
      <c r="C72" s="126"/>
      <c r="D72" s="9" t="s">
        <v>258</v>
      </c>
      <c r="E72" s="78"/>
      <c r="F72" s="78"/>
      <c r="G72" s="1">
        <v>108</v>
      </c>
      <c r="H72" s="5">
        <f t="shared" ref="H72:H79" si="30">E72/G72</f>
        <v>0</v>
      </c>
      <c r="I72" s="1">
        <v>0.71</v>
      </c>
      <c r="J72" s="1">
        <v>0.46</v>
      </c>
      <c r="K72" s="1">
        <v>0.27</v>
      </c>
      <c r="L72" s="1">
        <v>17.5</v>
      </c>
      <c r="M72" s="6">
        <f t="shared" ref="M72:M79" si="31">H72*I72*J72*K72</f>
        <v>0</v>
      </c>
      <c r="N72" s="11">
        <v>1296</v>
      </c>
      <c r="O72" s="6">
        <f t="shared" ref="O72:O79" si="32">E72/N72</f>
        <v>0</v>
      </c>
      <c r="P72" s="7">
        <f t="shared" ref="P72:P79" si="33">H72*L72</f>
        <v>0</v>
      </c>
      <c r="Q72" s="56">
        <f t="shared" si="27"/>
        <v>0.7429</v>
      </c>
      <c r="R72" s="8">
        <f t="shared" ref="R72:R79" si="34">E72*Q72</f>
        <v>0</v>
      </c>
      <c r="S72" s="56">
        <v>0.874</v>
      </c>
      <c r="T72" s="3">
        <v>3.76</v>
      </c>
      <c r="U72" s="7">
        <f t="shared" ref="U72:U79" si="35">E72*T72</f>
        <v>0</v>
      </c>
      <c r="W72" s="119">
        <f t="shared" si="29"/>
        <v>5.1910559999999988</v>
      </c>
      <c r="X72" s="7">
        <f t="shared" si="28"/>
        <v>0</v>
      </c>
      <c r="AC72" s="15">
        <v>8423224807873</v>
      </c>
    </row>
    <row r="73" spans="1:29" ht="15.65" customHeight="1" x14ac:dyDescent="0.25">
      <c r="B73" s="104" t="s">
        <v>31</v>
      </c>
      <c r="C73" s="126"/>
      <c r="D73" s="9" t="s">
        <v>260</v>
      </c>
      <c r="E73" s="78"/>
      <c r="F73" s="78"/>
      <c r="G73" s="1">
        <v>108</v>
      </c>
      <c r="H73" s="5">
        <f t="shared" si="30"/>
        <v>0</v>
      </c>
      <c r="I73" s="1">
        <v>0.71</v>
      </c>
      <c r="J73" s="1">
        <v>0.46</v>
      </c>
      <c r="K73" s="1">
        <v>0.27</v>
      </c>
      <c r="L73" s="1">
        <v>17.5</v>
      </c>
      <c r="M73" s="6">
        <f t="shared" si="31"/>
        <v>0</v>
      </c>
      <c r="N73" s="11">
        <v>1296</v>
      </c>
      <c r="O73" s="6">
        <f t="shared" si="32"/>
        <v>0</v>
      </c>
      <c r="P73" s="7">
        <f t="shared" si="33"/>
        <v>0</v>
      </c>
      <c r="Q73" s="56">
        <f t="shared" si="27"/>
        <v>0.7429</v>
      </c>
      <c r="R73" s="8">
        <f t="shared" si="34"/>
        <v>0</v>
      </c>
      <c r="S73" s="56">
        <v>0.874</v>
      </c>
      <c r="T73" s="3">
        <v>3.76</v>
      </c>
      <c r="U73" s="7">
        <f t="shared" si="35"/>
        <v>0</v>
      </c>
      <c r="W73" s="119">
        <f t="shared" si="29"/>
        <v>5.1910559999999988</v>
      </c>
      <c r="X73" s="7">
        <f t="shared" si="28"/>
        <v>0</v>
      </c>
      <c r="Y73" s="6">
        <f>SUM(Y32:Y72)</f>
        <v>0</v>
      </c>
      <c r="AA73" s="20">
        <f>SUM(AA32:AA72)</f>
        <v>0</v>
      </c>
      <c r="AC73" s="15">
        <v>8423224784693</v>
      </c>
    </row>
    <row r="74" spans="1:29" ht="15.65" customHeight="1" x14ac:dyDescent="0.25">
      <c r="B74" s="104" t="s">
        <v>33</v>
      </c>
      <c r="C74" s="126"/>
      <c r="D74" s="9" t="s">
        <v>261</v>
      </c>
      <c r="E74" s="78"/>
      <c r="F74" s="78"/>
      <c r="G74" s="1">
        <v>108</v>
      </c>
      <c r="H74" s="5">
        <f t="shared" si="30"/>
        <v>0</v>
      </c>
      <c r="I74" s="1">
        <v>0.71</v>
      </c>
      <c r="J74" s="1">
        <v>0.46</v>
      </c>
      <c r="K74" s="1">
        <v>0.27</v>
      </c>
      <c r="L74" s="1">
        <v>17.5</v>
      </c>
      <c r="M74" s="6">
        <f t="shared" si="31"/>
        <v>0</v>
      </c>
      <c r="N74" s="11">
        <v>1296</v>
      </c>
      <c r="O74" s="6">
        <f t="shared" si="32"/>
        <v>0</v>
      </c>
      <c r="P74" s="7">
        <f t="shared" si="33"/>
        <v>0</v>
      </c>
      <c r="Q74" s="56">
        <f t="shared" si="27"/>
        <v>0.75309999999999999</v>
      </c>
      <c r="R74" s="8">
        <f t="shared" si="34"/>
        <v>0</v>
      </c>
      <c r="S74" s="56">
        <v>0.88600000000000001</v>
      </c>
      <c r="T74" s="3">
        <v>3.82</v>
      </c>
      <c r="U74" s="7">
        <f t="shared" si="35"/>
        <v>0</v>
      </c>
      <c r="W74" s="119">
        <f t="shared" si="29"/>
        <v>5.2738919999999991</v>
      </c>
      <c r="X74" s="7">
        <f t="shared" si="28"/>
        <v>0</v>
      </c>
      <c r="AC74" s="15">
        <v>8423224807897</v>
      </c>
    </row>
    <row r="75" spans="1:29" ht="15.65" customHeight="1" x14ac:dyDescent="0.25">
      <c r="A75" s="9" t="s">
        <v>278</v>
      </c>
      <c r="B75" s="104" t="s">
        <v>95</v>
      </c>
      <c r="C75" s="125" t="s">
        <v>236</v>
      </c>
      <c r="D75" s="9" t="s">
        <v>262</v>
      </c>
      <c r="E75" s="78"/>
      <c r="F75" s="78"/>
      <c r="G75" s="1">
        <v>108</v>
      </c>
      <c r="H75" s="5">
        <f t="shared" si="30"/>
        <v>0</v>
      </c>
      <c r="I75" s="1">
        <v>0.71</v>
      </c>
      <c r="J75" s="1">
        <v>0.46</v>
      </c>
      <c r="K75" s="1">
        <v>0.27</v>
      </c>
      <c r="L75" s="1">
        <v>17.5</v>
      </c>
      <c r="M75" s="6">
        <f t="shared" si="31"/>
        <v>0</v>
      </c>
      <c r="N75" s="11">
        <v>1296</v>
      </c>
      <c r="O75" s="6">
        <f t="shared" si="32"/>
        <v>0</v>
      </c>
      <c r="P75" s="7">
        <f t="shared" si="33"/>
        <v>0</v>
      </c>
      <c r="Q75" s="56">
        <f t="shared" si="27"/>
        <v>0.75309999999999999</v>
      </c>
      <c r="R75" s="8">
        <f t="shared" si="34"/>
        <v>0</v>
      </c>
      <c r="S75" s="56">
        <v>0.88600000000000001</v>
      </c>
      <c r="T75" s="3">
        <v>3.82</v>
      </c>
      <c r="U75" s="7">
        <f t="shared" si="35"/>
        <v>0</v>
      </c>
      <c r="W75" s="119">
        <f t="shared" si="29"/>
        <v>5.2738919999999991</v>
      </c>
      <c r="X75" s="7">
        <f t="shared" si="28"/>
        <v>0</v>
      </c>
      <c r="AC75" s="15">
        <v>8423224812983</v>
      </c>
    </row>
    <row r="76" spans="1:29" ht="15.65" customHeight="1" x14ac:dyDescent="0.25">
      <c r="A76" s="9" t="s">
        <v>278</v>
      </c>
      <c r="B76" s="104" t="s">
        <v>96</v>
      </c>
      <c r="C76" s="126" t="s">
        <v>395</v>
      </c>
      <c r="D76" s="9" t="s">
        <v>267</v>
      </c>
      <c r="E76" s="78"/>
      <c r="F76" s="78"/>
      <c r="G76" s="1">
        <v>108</v>
      </c>
      <c r="H76" s="5">
        <f t="shared" si="30"/>
        <v>0</v>
      </c>
      <c r="I76" s="1">
        <v>0.71</v>
      </c>
      <c r="J76" s="1">
        <v>0.46</v>
      </c>
      <c r="K76" s="1">
        <v>0.27</v>
      </c>
      <c r="L76" s="1">
        <v>17.5</v>
      </c>
      <c r="M76" s="6">
        <f t="shared" si="31"/>
        <v>0</v>
      </c>
      <c r="N76" s="11">
        <v>1296</v>
      </c>
      <c r="O76" s="6">
        <f t="shared" si="32"/>
        <v>0</v>
      </c>
      <c r="P76" s="7">
        <f t="shared" si="33"/>
        <v>0</v>
      </c>
      <c r="Q76" s="56">
        <f t="shared" si="27"/>
        <v>0.75309999999999999</v>
      </c>
      <c r="R76" s="8">
        <f t="shared" si="34"/>
        <v>0</v>
      </c>
      <c r="S76" s="56">
        <v>0.88600000000000001</v>
      </c>
      <c r="T76" s="3">
        <v>3.82</v>
      </c>
      <c r="U76" s="7">
        <f t="shared" si="35"/>
        <v>0</v>
      </c>
      <c r="W76" s="119">
        <f t="shared" si="29"/>
        <v>5.2738919999999991</v>
      </c>
      <c r="X76" s="7">
        <f t="shared" si="28"/>
        <v>0</v>
      </c>
      <c r="AC76" s="15">
        <v>8423224807880</v>
      </c>
    </row>
    <row r="77" spans="1:29" ht="15.65" customHeight="1" x14ac:dyDescent="0.25">
      <c r="B77" s="104" t="s">
        <v>34</v>
      </c>
      <c r="C77" s="126" t="s">
        <v>387</v>
      </c>
      <c r="D77" s="9" t="s">
        <v>268</v>
      </c>
      <c r="E77" s="78"/>
      <c r="F77" s="78"/>
      <c r="G77" s="1">
        <v>108</v>
      </c>
      <c r="H77" s="5">
        <f t="shared" si="30"/>
        <v>0</v>
      </c>
      <c r="I77" s="1">
        <v>0.71</v>
      </c>
      <c r="J77" s="1">
        <v>0.46</v>
      </c>
      <c r="K77" s="1">
        <v>0.27</v>
      </c>
      <c r="L77" s="1">
        <v>17.5</v>
      </c>
      <c r="M77" s="6">
        <f t="shared" si="31"/>
        <v>0</v>
      </c>
      <c r="N77" s="11">
        <v>1296</v>
      </c>
      <c r="O77" s="6">
        <f t="shared" si="32"/>
        <v>0</v>
      </c>
      <c r="P77" s="7">
        <f t="shared" si="33"/>
        <v>0</v>
      </c>
      <c r="Q77" s="56">
        <f t="shared" si="27"/>
        <v>0.75309999999999999</v>
      </c>
      <c r="R77" s="8">
        <f t="shared" si="34"/>
        <v>0</v>
      </c>
      <c r="S77" s="56">
        <v>0.88600000000000001</v>
      </c>
      <c r="T77" s="3">
        <v>3.82</v>
      </c>
      <c r="U77" s="7">
        <f t="shared" si="35"/>
        <v>0</v>
      </c>
      <c r="W77" s="119">
        <f t="shared" si="29"/>
        <v>5.2738919999999991</v>
      </c>
      <c r="X77" s="7">
        <f t="shared" si="28"/>
        <v>0</v>
      </c>
      <c r="AC77" s="15">
        <v>8423224807903</v>
      </c>
    </row>
    <row r="78" spans="1:29" ht="15.65" customHeight="1" x14ac:dyDescent="0.25">
      <c r="B78" s="104" t="s">
        <v>97</v>
      </c>
      <c r="C78" s="125" t="s">
        <v>388</v>
      </c>
      <c r="D78" s="9" t="s">
        <v>285</v>
      </c>
      <c r="E78" s="78"/>
      <c r="F78" s="78"/>
      <c r="G78" s="1">
        <v>108</v>
      </c>
      <c r="H78" s="5">
        <f t="shared" si="30"/>
        <v>0</v>
      </c>
      <c r="I78" s="1">
        <v>0.71</v>
      </c>
      <c r="J78" s="1">
        <v>0.46</v>
      </c>
      <c r="K78" s="1">
        <v>0.27</v>
      </c>
      <c r="L78" s="1">
        <v>17.5</v>
      </c>
      <c r="M78" s="6">
        <f t="shared" si="31"/>
        <v>0</v>
      </c>
      <c r="N78" s="11">
        <v>1296</v>
      </c>
      <c r="O78" s="6">
        <f t="shared" si="32"/>
        <v>0</v>
      </c>
      <c r="P78" s="7">
        <f t="shared" si="33"/>
        <v>0</v>
      </c>
      <c r="Q78" s="56">
        <f t="shared" si="27"/>
        <v>0.75309999999999999</v>
      </c>
      <c r="R78" s="8">
        <f t="shared" si="34"/>
        <v>0</v>
      </c>
      <c r="S78" s="56">
        <v>0.88600000000000001</v>
      </c>
      <c r="T78" s="3">
        <v>3.82</v>
      </c>
      <c r="U78" s="7">
        <f t="shared" si="35"/>
        <v>0</v>
      </c>
      <c r="W78" s="119">
        <f t="shared" si="29"/>
        <v>5.2738919999999991</v>
      </c>
      <c r="X78" s="7">
        <f t="shared" si="28"/>
        <v>0</v>
      </c>
      <c r="AC78" s="15">
        <v>8423224784679</v>
      </c>
    </row>
    <row r="79" spans="1:29" ht="15.65" customHeight="1" x14ac:dyDescent="0.25">
      <c r="B79" s="104" t="s">
        <v>32</v>
      </c>
      <c r="C79" s="126"/>
      <c r="D79" s="9" t="s">
        <v>269</v>
      </c>
      <c r="E79" s="78"/>
      <c r="F79" s="78"/>
      <c r="G79" s="1">
        <v>108</v>
      </c>
      <c r="H79" s="5">
        <f t="shared" si="30"/>
        <v>0</v>
      </c>
      <c r="I79" s="1">
        <v>0.71</v>
      </c>
      <c r="J79" s="1">
        <v>0.46</v>
      </c>
      <c r="K79" s="1">
        <v>0.27</v>
      </c>
      <c r="L79" s="1">
        <v>17.5</v>
      </c>
      <c r="M79" s="6">
        <f t="shared" si="31"/>
        <v>0</v>
      </c>
      <c r="N79" s="11">
        <v>1296</v>
      </c>
      <c r="O79" s="6">
        <f t="shared" si="32"/>
        <v>0</v>
      </c>
      <c r="P79" s="7">
        <f t="shared" si="33"/>
        <v>0</v>
      </c>
      <c r="Q79" s="56">
        <f t="shared" si="27"/>
        <v>1.0463500000000001</v>
      </c>
      <c r="R79" s="8">
        <f t="shared" si="34"/>
        <v>0</v>
      </c>
      <c r="S79" s="56">
        <v>1.2310000000000001</v>
      </c>
      <c r="T79" s="3">
        <v>5.12</v>
      </c>
      <c r="U79" s="7">
        <f t="shared" si="35"/>
        <v>0</v>
      </c>
      <c r="W79" s="119">
        <f t="shared" si="29"/>
        <v>7.0686719999999994</v>
      </c>
      <c r="X79" s="7">
        <f t="shared" si="28"/>
        <v>0</v>
      </c>
      <c r="AC79" s="15">
        <v>8423224807910</v>
      </c>
    </row>
    <row r="80" spans="1:29" ht="15.65" customHeight="1" x14ac:dyDescent="0.25">
      <c r="B80" s="104"/>
      <c r="C80" s="126"/>
      <c r="D80" s="9"/>
      <c r="E80" s="78"/>
      <c r="F80" s="78"/>
      <c r="H80" s="5"/>
      <c r="N80" s="11"/>
      <c r="Q80" s="56"/>
      <c r="R80" s="8"/>
      <c r="S80" s="56"/>
      <c r="T80" s="3"/>
      <c r="U80" s="7"/>
      <c r="W80" s="119">
        <f t="shared" si="29"/>
        <v>0</v>
      </c>
      <c r="X80" s="7">
        <f t="shared" si="28"/>
        <v>0</v>
      </c>
      <c r="AC80" s="15"/>
    </row>
    <row r="81" spans="1:29" ht="15.65" customHeight="1" x14ac:dyDescent="0.25">
      <c r="A81" s="1" t="s">
        <v>289</v>
      </c>
      <c r="B81" s="104" t="s">
        <v>226</v>
      </c>
      <c r="C81" s="125" t="s">
        <v>227</v>
      </c>
      <c r="D81" s="1" t="s">
        <v>290</v>
      </c>
      <c r="E81" s="78"/>
      <c r="F81" s="78"/>
      <c r="G81" s="1">
        <v>87</v>
      </c>
      <c r="H81" s="7">
        <f t="shared" ref="H81:H88" si="36">E81/G81</f>
        <v>0</v>
      </c>
      <c r="I81" s="1">
        <v>0.79</v>
      </c>
      <c r="J81" s="1">
        <v>0.46</v>
      </c>
      <c r="K81" s="1">
        <v>0.28000000000000003</v>
      </c>
      <c r="L81" s="35">
        <v>29</v>
      </c>
      <c r="M81" s="6">
        <f>H81*I81*J81*K81</f>
        <v>0</v>
      </c>
      <c r="N81" s="11">
        <v>864</v>
      </c>
      <c r="O81" s="6">
        <f>E81/N81</f>
        <v>0</v>
      </c>
      <c r="P81" s="7">
        <f>H81*L81</f>
        <v>0</v>
      </c>
      <c r="Q81" s="56">
        <f t="shared" si="27"/>
        <v>0.85339999999999994</v>
      </c>
      <c r="R81" s="8">
        <f>E81*Q81</f>
        <v>0</v>
      </c>
      <c r="S81" s="56">
        <v>1.004</v>
      </c>
      <c r="T81" s="19">
        <v>4.8</v>
      </c>
      <c r="U81" s="7">
        <f t="shared" ref="U81:U88" si="37">E81*T81</f>
        <v>0</v>
      </c>
      <c r="W81" s="119">
        <f t="shared" si="29"/>
        <v>6.626879999999999</v>
      </c>
      <c r="X81" s="7">
        <f t="shared" si="28"/>
        <v>0</v>
      </c>
      <c r="AC81" s="15"/>
    </row>
    <row r="82" spans="1:29" ht="15.65" customHeight="1" x14ac:dyDescent="0.25">
      <c r="B82" s="104" t="s">
        <v>98</v>
      </c>
      <c r="C82" s="126"/>
      <c r="D82" s="9" t="s">
        <v>258</v>
      </c>
      <c r="E82" s="78"/>
      <c r="F82" s="78"/>
      <c r="G82" s="1">
        <v>108</v>
      </c>
      <c r="H82" s="5">
        <f t="shared" si="36"/>
        <v>0</v>
      </c>
      <c r="I82" s="1">
        <v>0.79</v>
      </c>
      <c r="J82" s="1">
        <v>0.46</v>
      </c>
      <c r="K82" s="1">
        <v>0.28000000000000003</v>
      </c>
      <c r="L82" s="1">
        <v>23</v>
      </c>
      <c r="M82" s="6">
        <f t="shared" ref="M82:M88" si="38">H82*I82*J82*K82</f>
        <v>0</v>
      </c>
      <c r="N82" s="11">
        <v>864</v>
      </c>
      <c r="O82" s="6">
        <f t="shared" ref="O82:O88" si="39">E82/N82</f>
        <v>0</v>
      </c>
      <c r="P82" s="7">
        <f t="shared" ref="P82:P88" si="40">H82*L82</f>
        <v>0</v>
      </c>
      <c r="Q82" s="56">
        <f t="shared" si="27"/>
        <v>1.0148999999999999</v>
      </c>
      <c r="R82" s="8">
        <f t="shared" ref="R82:R88" si="41">E82*Q82</f>
        <v>0</v>
      </c>
      <c r="S82" s="56">
        <v>1.194</v>
      </c>
      <c r="T82" s="3">
        <v>5.09</v>
      </c>
      <c r="U82" s="7">
        <f t="shared" si="37"/>
        <v>0</v>
      </c>
      <c r="W82" s="119">
        <f t="shared" si="29"/>
        <v>7.0272539999999992</v>
      </c>
      <c r="X82" s="7">
        <f t="shared" si="28"/>
        <v>0</v>
      </c>
      <c r="AC82" s="15">
        <v>8423224785287</v>
      </c>
    </row>
    <row r="83" spans="1:29" ht="15.65" customHeight="1" x14ac:dyDescent="0.25">
      <c r="B83" s="104" t="s">
        <v>35</v>
      </c>
      <c r="C83" s="126"/>
      <c r="D83" s="9" t="s">
        <v>260</v>
      </c>
      <c r="E83" s="78"/>
      <c r="F83" s="78"/>
      <c r="G83" s="1">
        <v>108</v>
      </c>
      <c r="H83" s="5">
        <f t="shared" si="36"/>
        <v>0</v>
      </c>
      <c r="I83" s="1">
        <v>0.79</v>
      </c>
      <c r="J83" s="1">
        <v>0.46</v>
      </c>
      <c r="K83" s="1">
        <v>0.28000000000000003</v>
      </c>
      <c r="L83" s="1">
        <v>23</v>
      </c>
      <c r="M83" s="6">
        <f t="shared" si="38"/>
        <v>0</v>
      </c>
      <c r="N83" s="11">
        <v>864</v>
      </c>
      <c r="O83" s="6">
        <f t="shared" si="39"/>
        <v>0</v>
      </c>
      <c r="P83" s="7">
        <f t="shared" si="40"/>
        <v>0</v>
      </c>
      <c r="Q83" s="56">
        <f t="shared" si="27"/>
        <v>1.0148999999999999</v>
      </c>
      <c r="R83" s="8">
        <f t="shared" si="41"/>
        <v>0</v>
      </c>
      <c r="S83" s="56">
        <v>1.194</v>
      </c>
      <c r="T83" s="3">
        <v>5.09</v>
      </c>
      <c r="U83" s="7">
        <f t="shared" si="37"/>
        <v>0</v>
      </c>
      <c r="W83" s="119">
        <f t="shared" si="29"/>
        <v>7.0272539999999992</v>
      </c>
      <c r="X83" s="7">
        <f t="shared" si="28"/>
        <v>0</v>
      </c>
      <c r="AC83" s="15">
        <v>8423224784815</v>
      </c>
    </row>
    <row r="84" spans="1:29" ht="15.65" customHeight="1" x14ac:dyDescent="0.25">
      <c r="B84" s="104" t="s">
        <v>36</v>
      </c>
      <c r="C84" s="126"/>
      <c r="D84" s="9" t="s">
        <v>268</v>
      </c>
      <c r="E84" s="78"/>
      <c r="F84" s="78"/>
      <c r="G84" s="1">
        <v>108</v>
      </c>
      <c r="H84" s="5">
        <f t="shared" si="36"/>
        <v>0</v>
      </c>
      <c r="I84" s="1">
        <v>0.79</v>
      </c>
      <c r="J84" s="1">
        <v>0.46</v>
      </c>
      <c r="K84" s="1">
        <v>0.28000000000000003</v>
      </c>
      <c r="L84" s="1">
        <v>23</v>
      </c>
      <c r="M84" s="6">
        <f t="shared" si="38"/>
        <v>0</v>
      </c>
      <c r="N84" s="11">
        <v>864</v>
      </c>
      <c r="O84" s="6">
        <f t="shared" si="39"/>
        <v>0</v>
      </c>
      <c r="P84" s="7">
        <f t="shared" si="40"/>
        <v>0</v>
      </c>
      <c r="Q84" s="56">
        <f t="shared" si="27"/>
        <v>1.0259500000000001</v>
      </c>
      <c r="R84" s="8">
        <f t="shared" si="41"/>
        <v>0</v>
      </c>
      <c r="S84" s="56">
        <v>1.2070000000000001</v>
      </c>
      <c r="T84" s="3">
        <v>5.18</v>
      </c>
      <c r="U84" s="7">
        <f t="shared" si="37"/>
        <v>0</v>
      </c>
      <c r="W84" s="119">
        <f t="shared" si="29"/>
        <v>7.1515079999999989</v>
      </c>
      <c r="X84" s="7">
        <f t="shared" si="28"/>
        <v>0</v>
      </c>
      <c r="AC84" s="15">
        <v>8423224807958</v>
      </c>
    </row>
    <row r="85" spans="1:29" ht="15.65" customHeight="1" x14ac:dyDescent="0.25">
      <c r="B85" s="104" t="s">
        <v>99</v>
      </c>
      <c r="C85" s="126"/>
      <c r="D85" s="9" t="s">
        <v>261</v>
      </c>
      <c r="E85" s="78"/>
      <c r="F85" s="78"/>
      <c r="G85" s="1">
        <v>108</v>
      </c>
      <c r="H85" s="5">
        <f t="shared" si="36"/>
        <v>0</v>
      </c>
      <c r="I85" s="1">
        <v>0.79</v>
      </c>
      <c r="J85" s="1">
        <v>0.46</v>
      </c>
      <c r="K85" s="1">
        <v>0.28000000000000003</v>
      </c>
      <c r="L85" s="1">
        <v>23</v>
      </c>
      <c r="M85" s="6">
        <f t="shared" si="38"/>
        <v>0</v>
      </c>
      <c r="N85" s="11">
        <v>864</v>
      </c>
      <c r="O85" s="6">
        <f t="shared" si="39"/>
        <v>0</v>
      </c>
      <c r="P85" s="7">
        <f t="shared" si="40"/>
        <v>0</v>
      </c>
      <c r="Q85" s="56">
        <f t="shared" si="27"/>
        <v>1.0259500000000001</v>
      </c>
      <c r="R85" s="8">
        <f t="shared" si="41"/>
        <v>0</v>
      </c>
      <c r="S85" s="56">
        <v>1.2070000000000001</v>
      </c>
      <c r="T85" s="3">
        <v>5.18</v>
      </c>
      <c r="U85" s="7">
        <f t="shared" si="37"/>
        <v>0</v>
      </c>
      <c r="W85" s="119">
        <f t="shared" si="29"/>
        <v>7.1515079999999989</v>
      </c>
      <c r="X85" s="7">
        <f t="shared" si="28"/>
        <v>0</v>
      </c>
      <c r="AC85" s="15">
        <v>8423224807941</v>
      </c>
    </row>
    <row r="86" spans="1:29" ht="15.65" customHeight="1" x14ac:dyDescent="0.25">
      <c r="A86" s="9"/>
      <c r="B86" s="104" t="s">
        <v>100</v>
      </c>
      <c r="C86" s="126"/>
      <c r="D86" s="9" t="s">
        <v>276</v>
      </c>
      <c r="E86" s="78"/>
      <c r="F86" s="78"/>
      <c r="G86" s="1">
        <v>108</v>
      </c>
      <c r="H86" s="5">
        <f t="shared" si="36"/>
        <v>0</v>
      </c>
      <c r="I86" s="1">
        <v>0.79</v>
      </c>
      <c r="J86" s="1">
        <v>0.46</v>
      </c>
      <c r="K86" s="1">
        <v>0.28000000000000003</v>
      </c>
      <c r="L86" s="1">
        <v>23</v>
      </c>
      <c r="M86" s="6">
        <f t="shared" si="38"/>
        <v>0</v>
      </c>
      <c r="N86" s="11">
        <v>864</v>
      </c>
      <c r="O86" s="6">
        <f t="shared" si="39"/>
        <v>0</v>
      </c>
      <c r="P86" s="7">
        <f t="shared" si="40"/>
        <v>0</v>
      </c>
      <c r="Q86" s="56">
        <f t="shared" si="27"/>
        <v>1.0259500000000001</v>
      </c>
      <c r="R86" s="8">
        <f t="shared" si="41"/>
        <v>0</v>
      </c>
      <c r="S86" s="56">
        <v>1.2070000000000001</v>
      </c>
      <c r="T86" s="3">
        <v>5.18</v>
      </c>
      <c r="U86" s="7">
        <f t="shared" si="37"/>
        <v>0</v>
      </c>
      <c r="W86" s="119">
        <f t="shared" si="29"/>
        <v>7.1515079999999989</v>
      </c>
      <c r="X86" s="7">
        <f t="shared" si="28"/>
        <v>0</v>
      </c>
      <c r="AC86" s="15">
        <v>8423224807972</v>
      </c>
    </row>
    <row r="87" spans="1:29" ht="15.65" customHeight="1" x14ac:dyDescent="0.25">
      <c r="A87" s="9"/>
      <c r="B87" s="104" t="s">
        <v>101</v>
      </c>
      <c r="C87" s="126" t="s">
        <v>396</v>
      </c>
      <c r="D87" s="9" t="s">
        <v>267</v>
      </c>
      <c r="E87" s="78"/>
      <c r="F87" s="78"/>
      <c r="G87" s="1">
        <v>108</v>
      </c>
      <c r="H87" s="5">
        <f t="shared" si="36"/>
        <v>0</v>
      </c>
      <c r="I87" s="1">
        <v>0.79</v>
      </c>
      <c r="J87" s="1">
        <v>0.46</v>
      </c>
      <c r="K87" s="1">
        <v>0.28000000000000003</v>
      </c>
      <c r="L87" s="1">
        <v>23</v>
      </c>
      <c r="M87" s="6">
        <f t="shared" si="38"/>
        <v>0</v>
      </c>
      <c r="N87" s="11">
        <v>864</v>
      </c>
      <c r="O87" s="6">
        <f t="shared" si="39"/>
        <v>0</v>
      </c>
      <c r="P87" s="7">
        <f t="shared" si="40"/>
        <v>0</v>
      </c>
      <c r="Q87" s="56">
        <f t="shared" si="27"/>
        <v>1.0259500000000001</v>
      </c>
      <c r="R87" s="8">
        <f t="shared" si="41"/>
        <v>0</v>
      </c>
      <c r="S87" s="56">
        <v>1.2070000000000001</v>
      </c>
      <c r="T87" s="3">
        <v>5.18</v>
      </c>
      <c r="U87" s="7">
        <f t="shared" si="37"/>
        <v>0</v>
      </c>
      <c r="W87" s="119">
        <f t="shared" si="29"/>
        <v>7.1515079999999989</v>
      </c>
      <c r="X87" s="7">
        <f t="shared" si="28"/>
        <v>0</v>
      </c>
      <c r="AC87" s="15">
        <v>8423224807927</v>
      </c>
    </row>
    <row r="88" spans="1:29" ht="15.65" customHeight="1" x14ac:dyDescent="0.25">
      <c r="A88" s="9"/>
      <c r="B88" s="104" t="s">
        <v>102</v>
      </c>
      <c r="C88" s="126"/>
      <c r="D88" s="9" t="s">
        <v>262</v>
      </c>
      <c r="E88" s="78"/>
      <c r="F88" s="78"/>
      <c r="G88" s="1">
        <v>108</v>
      </c>
      <c r="H88" s="5">
        <f t="shared" si="36"/>
        <v>0</v>
      </c>
      <c r="I88" s="1">
        <v>0.79</v>
      </c>
      <c r="J88" s="1">
        <v>0.46</v>
      </c>
      <c r="K88" s="1">
        <v>0.28000000000000003</v>
      </c>
      <c r="L88" s="1">
        <v>23</v>
      </c>
      <c r="M88" s="6">
        <f t="shared" si="38"/>
        <v>0</v>
      </c>
      <c r="N88" s="11">
        <v>864</v>
      </c>
      <c r="O88" s="6">
        <f t="shared" si="39"/>
        <v>0</v>
      </c>
      <c r="P88" s="7">
        <f t="shared" si="40"/>
        <v>0</v>
      </c>
      <c r="Q88" s="56">
        <f t="shared" si="27"/>
        <v>1.0259500000000001</v>
      </c>
      <c r="R88" s="8">
        <f t="shared" si="41"/>
        <v>0</v>
      </c>
      <c r="S88" s="56">
        <v>1.2070000000000001</v>
      </c>
      <c r="T88" s="3">
        <v>5.18</v>
      </c>
      <c r="U88" s="7">
        <f t="shared" si="37"/>
        <v>0</v>
      </c>
      <c r="W88" s="119">
        <f t="shared" si="29"/>
        <v>7.1515079999999989</v>
      </c>
      <c r="X88" s="7">
        <f t="shared" si="28"/>
        <v>0</v>
      </c>
      <c r="AC88" s="15">
        <v>8423224807934</v>
      </c>
    </row>
    <row r="89" spans="1:29" ht="15.65" customHeight="1" x14ac:dyDescent="0.25">
      <c r="B89" s="104"/>
      <c r="C89" s="126"/>
      <c r="D89" s="9"/>
      <c r="E89" s="78"/>
      <c r="F89" s="78"/>
      <c r="H89" s="5"/>
      <c r="N89" s="11"/>
      <c r="Q89" s="56"/>
      <c r="R89" s="8"/>
      <c r="S89" s="56"/>
      <c r="T89" s="3"/>
      <c r="U89" s="7"/>
      <c r="W89" s="119">
        <f t="shared" si="29"/>
        <v>0</v>
      </c>
      <c r="X89" s="7">
        <f t="shared" si="28"/>
        <v>0</v>
      </c>
      <c r="AC89" s="15"/>
    </row>
    <row r="90" spans="1:29" ht="15.65" customHeight="1" x14ac:dyDescent="0.25">
      <c r="A90" s="9" t="s">
        <v>291</v>
      </c>
      <c r="B90" s="104" t="s">
        <v>37</v>
      </c>
      <c r="C90" s="126"/>
      <c r="D90" s="9" t="s">
        <v>258</v>
      </c>
      <c r="E90" s="78"/>
      <c r="F90" s="78"/>
      <c r="G90" s="1">
        <v>108</v>
      </c>
      <c r="H90" s="5">
        <f>E90/G90</f>
        <v>0</v>
      </c>
      <c r="I90" s="1">
        <v>0.79</v>
      </c>
      <c r="J90" s="1">
        <v>0.46</v>
      </c>
      <c r="K90" s="1">
        <v>0.28000000000000003</v>
      </c>
      <c r="L90" s="1">
        <v>33</v>
      </c>
      <c r="M90" s="6">
        <f>H90*I90*J90*K90</f>
        <v>0</v>
      </c>
      <c r="N90" s="11">
        <v>864</v>
      </c>
      <c r="O90" s="6">
        <f>E90/N90</f>
        <v>0</v>
      </c>
      <c r="P90" s="7">
        <f>H90*L90</f>
        <v>0</v>
      </c>
      <c r="Q90" s="56">
        <f t="shared" si="27"/>
        <v>0.96049999999999991</v>
      </c>
      <c r="R90" s="8">
        <f>E90*Q90</f>
        <v>0</v>
      </c>
      <c r="S90" s="56">
        <v>1.1299999999999999</v>
      </c>
      <c r="T90" s="3">
        <v>4.84</v>
      </c>
      <c r="U90" s="7">
        <f>E90*T90</f>
        <v>0</v>
      </c>
      <c r="W90" s="119">
        <f t="shared" si="29"/>
        <v>6.6821039999999998</v>
      </c>
      <c r="X90" s="7">
        <f t="shared" si="28"/>
        <v>0</v>
      </c>
      <c r="AC90" s="15">
        <v>8423224785294</v>
      </c>
    </row>
    <row r="91" spans="1:29" ht="15.65" customHeight="1" x14ac:dyDescent="0.25">
      <c r="A91" s="9"/>
      <c r="B91" s="104" t="s">
        <v>38</v>
      </c>
      <c r="C91" s="125" t="s">
        <v>234</v>
      </c>
      <c r="D91" s="9" t="s">
        <v>260</v>
      </c>
      <c r="E91" s="78"/>
      <c r="F91" s="78"/>
      <c r="G91" s="1">
        <v>108</v>
      </c>
      <c r="H91" s="5">
        <f>E91/G91</f>
        <v>0</v>
      </c>
      <c r="I91" s="1">
        <v>0.79</v>
      </c>
      <c r="J91" s="1">
        <v>0.46</v>
      </c>
      <c r="K91" s="1">
        <v>0.28000000000000003</v>
      </c>
      <c r="L91" s="1">
        <v>33</v>
      </c>
      <c r="M91" s="6">
        <f>H91*I91*J91*K91</f>
        <v>0</v>
      </c>
      <c r="N91" s="11">
        <v>864</v>
      </c>
      <c r="O91" s="6">
        <f>E91/N91</f>
        <v>0</v>
      </c>
      <c r="P91" s="7">
        <f>H91*L91</f>
        <v>0</v>
      </c>
      <c r="Q91" s="56">
        <v>0.96099999999999997</v>
      </c>
      <c r="R91" s="8">
        <f>E91*Q91</f>
        <v>0</v>
      </c>
      <c r="S91" s="56">
        <v>1.1299999999999999</v>
      </c>
      <c r="T91" s="3">
        <v>4.84</v>
      </c>
      <c r="U91" s="7">
        <f>E91*T91</f>
        <v>0</v>
      </c>
      <c r="W91" s="119">
        <f t="shared" si="29"/>
        <v>6.6821039999999998</v>
      </c>
      <c r="X91" s="7">
        <f t="shared" si="28"/>
        <v>0</v>
      </c>
      <c r="AC91" s="15">
        <v>8423224784846</v>
      </c>
    </row>
    <row r="92" spans="1:29" ht="15.65" customHeight="1" x14ac:dyDescent="0.25">
      <c r="A92" s="9"/>
      <c r="B92" s="104" t="s">
        <v>39</v>
      </c>
      <c r="C92" s="126"/>
      <c r="D92" s="9" t="s">
        <v>280</v>
      </c>
      <c r="E92" s="78"/>
      <c r="F92" s="78"/>
      <c r="G92" s="1">
        <v>108</v>
      </c>
      <c r="H92" s="5">
        <f>E92/G92</f>
        <v>0</v>
      </c>
      <c r="I92" s="1">
        <v>0.6</v>
      </c>
      <c r="J92" s="1">
        <v>0.46</v>
      </c>
      <c r="K92" s="1">
        <v>0.3</v>
      </c>
      <c r="L92" s="1">
        <v>22</v>
      </c>
      <c r="M92" s="6">
        <f>H92*I92*J92*K92</f>
        <v>0</v>
      </c>
      <c r="N92" s="11">
        <v>864</v>
      </c>
      <c r="O92" s="6">
        <f>E92/N92</f>
        <v>0</v>
      </c>
      <c r="P92" s="7">
        <f>H92*L92</f>
        <v>0</v>
      </c>
      <c r="Q92" s="56"/>
      <c r="R92" s="8">
        <f>E92*Q92</f>
        <v>0</v>
      </c>
      <c r="S92" s="56">
        <v>1.155</v>
      </c>
      <c r="T92" s="3">
        <v>4.92</v>
      </c>
      <c r="U92" s="7">
        <f>E92*T92</f>
        <v>0</v>
      </c>
      <c r="W92" s="119">
        <f t="shared" si="29"/>
        <v>6.7925519999999988</v>
      </c>
      <c r="X92" s="7">
        <f t="shared" si="28"/>
        <v>0</v>
      </c>
      <c r="AC92" s="15">
        <v>8423224784822</v>
      </c>
    </row>
    <row r="93" spans="1:29" ht="15.65" customHeight="1" x14ac:dyDescent="0.25">
      <c r="A93" s="9"/>
      <c r="B93" s="104"/>
      <c r="C93" s="126"/>
      <c r="D93" s="9"/>
      <c r="E93" s="78"/>
      <c r="F93" s="78"/>
      <c r="H93" s="5"/>
      <c r="N93" s="11"/>
      <c r="Q93" s="56"/>
      <c r="R93" s="8"/>
      <c r="S93" s="56"/>
      <c r="T93" s="3"/>
      <c r="U93" s="7"/>
      <c r="W93" s="119">
        <f t="shared" si="29"/>
        <v>0</v>
      </c>
      <c r="X93" s="7">
        <f t="shared" si="28"/>
        <v>0</v>
      </c>
      <c r="AC93" s="15"/>
    </row>
    <row r="94" spans="1:29" ht="15.65" customHeight="1" x14ac:dyDescent="0.25">
      <c r="A94" s="9" t="s">
        <v>292</v>
      </c>
      <c r="B94" s="104" t="s">
        <v>129</v>
      </c>
      <c r="C94" s="125" t="s">
        <v>336</v>
      </c>
      <c r="D94" s="9" t="s">
        <v>293</v>
      </c>
      <c r="E94" s="78"/>
      <c r="F94" s="78"/>
      <c r="G94" s="55">
        <v>108</v>
      </c>
      <c r="H94" s="5">
        <f>E94/G94</f>
        <v>0</v>
      </c>
      <c r="I94" s="1">
        <v>0.77</v>
      </c>
      <c r="J94" s="1">
        <v>0.37</v>
      </c>
      <c r="K94" s="1">
        <v>0.23</v>
      </c>
      <c r="L94" s="1">
        <v>26.5</v>
      </c>
      <c r="M94" s="6">
        <f>H94*I94*J94*K94</f>
        <v>0</v>
      </c>
      <c r="N94" s="11">
        <v>1296</v>
      </c>
      <c r="O94" s="6">
        <f>E94/N94</f>
        <v>0</v>
      </c>
      <c r="P94" s="7">
        <f>H94*L94</f>
        <v>0</v>
      </c>
      <c r="Q94" s="56">
        <v>0.58699999999999997</v>
      </c>
      <c r="R94" s="8">
        <f>E94*Q94</f>
        <v>0</v>
      </c>
      <c r="S94" s="56">
        <v>0.69099999999999995</v>
      </c>
      <c r="T94" s="19">
        <v>2.6</v>
      </c>
      <c r="U94" s="7">
        <f>E94*T94</f>
        <v>0</v>
      </c>
      <c r="W94" s="119">
        <f>T94*1.17*1.18</f>
        <v>3.5895599999999996</v>
      </c>
      <c r="X94" s="7">
        <f t="shared" si="28"/>
        <v>0</v>
      </c>
      <c r="AC94" s="15"/>
    </row>
    <row r="95" spans="1:29" ht="15.65" customHeight="1" x14ac:dyDescent="0.25">
      <c r="B95" s="104" t="s">
        <v>40</v>
      </c>
      <c r="C95" s="125" t="s">
        <v>212</v>
      </c>
      <c r="D95" s="9" t="s">
        <v>294</v>
      </c>
      <c r="E95" s="78"/>
      <c r="F95" s="78"/>
      <c r="G95" s="1">
        <v>108</v>
      </c>
      <c r="H95" s="5">
        <f>E95/G95</f>
        <v>0</v>
      </c>
      <c r="I95" s="1">
        <v>0.77</v>
      </c>
      <c r="J95" s="1">
        <v>0.37</v>
      </c>
      <c r="K95" s="1">
        <v>0.23</v>
      </c>
      <c r="L95" s="1">
        <v>26.5</v>
      </c>
      <c r="M95" s="6">
        <f>H95*I95*J95*K95</f>
        <v>0</v>
      </c>
      <c r="N95" s="11">
        <v>1296</v>
      </c>
      <c r="O95" s="6">
        <f>E95/N95</f>
        <v>0</v>
      </c>
      <c r="P95" s="7">
        <f>H95*L95</f>
        <v>0</v>
      </c>
      <c r="Q95" s="56">
        <f>S95*0.85</f>
        <v>0.75309999999999999</v>
      </c>
      <c r="R95" s="8">
        <f>E95*Q95</f>
        <v>0</v>
      </c>
      <c r="S95" s="56">
        <v>0.88600000000000001</v>
      </c>
      <c r="T95" s="3">
        <v>3.73</v>
      </c>
      <c r="U95" s="7">
        <f>E95*T95</f>
        <v>0</v>
      </c>
      <c r="W95" s="119">
        <f t="shared" ref="W95:W131" si="42">T95*1.17*1.18</f>
        <v>5.1496379999999995</v>
      </c>
      <c r="X95" s="7">
        <f t="shared" si="28"/>
        <v>0</v>
      </c>
      <c r="AC95" s="15">
        <v>8423224785249</v>
      </c>
    </row>
    <row r="96" spans="1:29" ht="15.65" customHeight="1" x14ac:dyDescent="0.25">
      <c r="A96" s="9"/>
      <c r="B96" s="104" t="s">
        <v>41</v>
      </c>
      <c r="C96" s="125" t="s">
        <v>389</v>
      </c>
      <c r="D96" s="9" t="s">
        <v>280</v>
      </c>
      <c r="E96" s="78"/>
      <c r="F96" s="78"/>
      <c r="G96" s="1">
        <v>108</v>
      </c>
      <c r="H96" s="5">
        <f>E96/G96</f>
        <v>0</v>
      </c>
      <c r="I96" s="1">
        <v>0.77</v>
      </c>
      <c r="J96" s="1">
        <v>0.37</v>
      </c>
      <c r="K96" s="1">
        <v>0.23</v>
      </c>
      <c r="L96" s="1">
        <v>26.5</v>
      </c>
      <c r="M96" s="6">
        <f>H96*I96*J96*K96</f>
        <v>0</v>
      </c>
      <c r="N96" s="11">
        <v>1296</v>
      </c>
      <c r="O96" s="6">
        <f>E96/N96</f>
        <v>0</v>
      </c>
      <c r="P96" s="7">
        <f>H96*L96</f>
        <v>0</v>
      </c>
      <c r="Q96" s="56">
        <f>S96*0.85</f>
        <v>0.67574999999999996</v>
      </c>
      <c r="R96" s="8">
        <f>E96*Q96</f>
        <v>0</v>
      </c>
      <c r="S96" s="56">
        <v>0.79500000000000004</v>
      </c>
      <c r="T96" s="3">
        <v>3.39</v>
      </c>
      <c r="U96" s="7">
        <f>E96*T96</f>
        <v>0</v>
      </c>
      <c r="W96" s="119">
        <f t="shared" si="42"/>
        <v>4.6802339999999996</v>
      </c>
      <c r="X96" s="7">
        <f t="shared" si="28"/>
        <v>0</v>
      </c>
      <c r="AC96" s="15">
        <v>8423224785232</v>
      </c>
    </row>
    <row r="97" spans="1:29" ht="15.65" customHeight="1" x14ac:dyDescent="0.25">
      <c r="A97" s="9"/>
      <c r="B97" s="104"/>
      <c r="C97" s="126"/>
      <c r="D97" s="9"/>
      <c r="E97" s="78"/>
      <c r="F97" s="78"/>
      <c r="H97" s="5"/>
      <c r="N97" s="11"/>
      <c r="Q97" s="56"/>
      <c r="R97" s="8"/>
      <c r="S97" s="56"/>
      <c r="T97" s="3"/>
      <c r="U97" s="7"/>
      <c r="W97" s="119">
        <f t="shared" si="42"/>
        <v>0</v>
      </c>
      <c r="X97" s="7">
        <f t="shared" si="28"/>
        <v>0</v>
      </c>
      <c r="AC97" s="15"/>
    </row>
    <row r="98" spans="1:29" ht="15.65" customHeight="1" x14ac:dyDescent="0.25">
      <c r="A98" s="9" t="s">
        <v>295</v>
      </c>
      <c r="B98" s="159" t="s">
        <v>144</v>
      </c>
      <c r="C98" s="125" t="s">
        <v>242</v>
      </c>
      <c r="D98" s="9" t="s">
        <v>293</v>
      </c>
      <c r="E98" s="78"/>
      <c r="F98" s="78"/>
      <c r="G98" s="76">
        <v>100</v>
      </c>
      <c r="H98" s="5">
        <f>E98/G98</f>
        <v>0</v>
      </c>
      <c r="I98" s="1">
        <v>0.6</v>
      </c>
      <c r="J98" s="1">
        <v>0.46</v>
      </c>
      <c r="K98" s="1">
        <v>0.23</v>
      </c>
      <c r="L98" s="1">
        <v>24</v>
      </c>
      <c r="M98" s="6">
        <f>H98*I98*J98*K98</f>
        <v>0</v>
      </c>
      <c r="N98" s="11">
        <v>1152</v>
      </c>
      <c r="O98" s="6">
        <f>E98/N98</f>
        <v>0</v>
      </c>
      <c r="P98" s="7">
        <f>H98*L98</f>
        <v>0</v>
      </c>
      <c r="Q98" s="56">
        <v>0.73499999999999999</v>
      </c>
      <c r="R98" s="8">
        <f>E98*Q98</f>
        <v>0</v>
      </c>
      <c r="S98" s="56">
        <v>0.86499999999999999</v>
      </c>
      <c r="T98" s="19">
        <v>3.7</v>
      </c>
      <c r="U98" s="7">
        <f>E98*T98</f>
        <v>0</v>
      </c>
      <c r="W98" s="119">
        <f t="shared" si="42"/>
        <v>5.1082199999999993</v>
      </c>
      <c r="X98" s="7">
        <f t="shared" si="28"/>
        <v>0</v>
      </c>
      <c r="AC98" s="15">
        <v>8423224785270</v>
      </c>
    </row>
    <row r="99" spans="1:29" ht="15.65" customHeight="1" x14ac:dyDescent="0.25">
      <c r="A99" s="9"/>
      <c r="B99" s="104" t="s">
        <v>42</v>
      </c>
      <c r="C99" s="126" t="s">
        <v>390</v>
      </c>
      <c r="D99" s="9" t="s">
        <v>294</v>
      </c>
      <c r="E99" s="78"/>
      <c r="F99" s="78"/>
      <c r="G99" s="1">
        <v>72</v>
      </c>
      <c r="H99" s="5">
        <f>E99/G99</f>
        <v>0</v>
      </c>
      <c r="I99" s="1">
        <v>0.77</v>
      </c>
      <c r="J99" s="1">
        <v>0.37</v>
      </c>
      <c r="K99" s="1">
        <v>0.23</v>
      </c>
      <c r="L99" s="1">
        <v>24</v>
      </c>
      <c r="M99" s="6">
        <f>H99*I99*J99*K99</f>
        <v>0</v>
      </c>
      <c r="N99" s="11">
        <v>1152</v>
      </c>
      <c r="O99" s="6">
        <f>E99/N99</f>
        <v>0</v>
      </c>
      <c r="P99" s="7">
        <f>H99*L99</f>
        <v>0</v>
      </c>
      <c r="Q99" s="56">
        <f>S99*0.85</f>
        <v>0.98175000000000001</v>
      </c>
      <c r="R99" s="8">
        <f>E99*Q99</f>
        <v>0</v>
      </c>
      <c r="S99" s="56">
        <v>1.155</v>
      </c>
      <c r="T99" s="3">
        <v>4.72</v>
      </c>
      <c r="U99" s="7">
        <f>E99*T99</f>
        <v>0</v>
      </c>
      <c r="W99" s="119">
        <f t="shared" si="42"/>
        <v>6.5164319999999991</v>
      </c>
      <c r="X99" s="7">
        <f t="shared" si="28"/>
        <v>0</v>
      </c>
      <c r="AC99" s="15">
        <v>8423224785270</v>
      </c>
    </row>
    <row r="100" spans="1:29" ht="15.65" customHeight="1" x14ac:dyDescent="0.25">
      <c r="A100" s="9"/>
      <c r="B100" s="104" t="s">
        <v>103</v>
      </c>
      <c r="C100" s="126"/>
      <c r="D100" s="9" t="s">
        <v>280</v>
      </c>
      <c r="E100" s="78"/>
      <c r="F100" s="78"/>
      <c r="G100" s="1">
        <v>72</v>
      </c>
      <c r="H100" s="5">
        <f>E100/G100</f>
        <v>0</v>
      </c>
      <c r="I100" s="1">
        <v>0.77</v>
      </c>
      <c r="J100" s="1">
        <v>0.37</v>
      </c>
      <c r="K100" s="1">
        <v>0.23</v>
      </c>
      <c r="L100" s="1">
        <v>24</v>
      </c>
      <c r="M100" s="6">
        <f>H100*I100*J100*K100</f>
        <v>0</v>
      </c>
      <c r="N100" s="11">
        <v>1152</v>
      </c>
      <c r="O100" s="6">
        <f>E100/N100</f>
        <v>0</v>
      </c>
      <c r="P100" s="7">
        <f>H100*L100</f>
        <v>0</v>
      </c>
      <c r="Q100" s="56">
        <f>S100*0.85</f>
        <v>0.87294999999999989</v>
      </c>
      <c r="R100" s="8">
        <f>E100*Q100</f>
        <v>0</v>
      </c>
      <c r="S100" s="56">
        <v>1.0269999999999999</v>
      </c>
      <c r="T100" s="3">
        <v>4.3600000000000003</v>
      </c>
      <c r="U100" s="7">
        <f>E100*T100</f>
        <v>0</v>
      </c>
      <c r="W100" s="119">
        <f t="shared" si="42"/>
        <v>6.0194160000000005</v>
      </c>
      <c r="X100" s="7">
        <f t="shared" si="28"/>
        <v>0</v>
      </c>
      <c r="AC100" s="15">
        <v>8423224785263</v>
      </c>
    </row>
    <row r="101" spans="1:29" ht="15.65" customHeight="1" x14ac:dyDescent="0.25">
      <c r="A101" s="9"/>
      <c r="B101" s="104"/>
      <c r="C101" s="108"/>
      <c r="D101" s="9"/>
      <c r="E101" s="78"/>
      <c r="F101" s="116"/>
      <c r="H101" s="5"/>
      <c r="M101" s="6"/>
      <c r="N101" s="11"/>
      <c r="O101" s="6"/>
      <c r="P101" s="7"/>
      <c r="Q101" s="56"/>
      <c r="R101" s="8"/>
      <c r="S101" s="56"/>
      <c r="T101" s="3"/>
      <c r="U101" s="7"/>
      <c r="W101" s="119">
        <f t="shared" si="42"/>
        <v>0</v>
      </c>
      <c r="X101" s="7">
        <f t="shared" ref="X101:X131" si="43">E101*W101</f>
        <v>0</v>
      </c>
      <c r="AC101" s="15"/>
    </row>
    <row r="102" spans="1:29" ht="15.65" customHeight="1" x14ac:dyDescent="0.25">
      <c r="A102" s="9" t="s">
        <v>296</v>
      </c>
      <c r="B102" s="104" t="s">
        <v>104</v>
      </c>
      <c r="C102" s="96" t="s">
        <v>240</v>
      </c>
      <c r="D102" s="1" t="s">
        <v>257</v>
      </c>
      <c r="E102" s="78"/>
      <c r="F102" s="78"/>
      <c r="G102" s="1">
        <v>108</v>
      </c>
      <c r="H102" s="5">
        <f t="shared" ref="H102:H107" si="44">E102/G102</f>
        <v>0</v>
      </c>
      <c r="I102" s="6">
        <v>0.4</v>
      </c>
      <c r="J102" s="6">
        <v>0.3</v>
      </c>
      <c r="K102" s="1">
        <v>0.21</v>
      </c>
      <c r="L102" s="1">
        <v>20.5</v>
      </c>
      <c r="M102" s="6">
        <f t="shared" ref="M102:M107" si="45">H102*I102*J102*K102</f>
        <v>0</v>
      </c>
      <c r="N102" s="11"/>
      <c r="O102" s="6"/>
      <c r="P102" s="7">
        <f t="shared" ref="P102:P107" si="46">H102*L102</f>
        <v>0</v>
      </c>
      <c r="Q102" s="56">
        <f>S102*0.85</f>
        <v>0.58055000000000001</v>
      </c>
      <c r="R102" s="8">
        <f t="shared" ref="R102:R107" si="47">E102*Q102</f>
        <v>0</v>
      </c>
      <c r="S102" s="56">
        <v>0.68300000000000005</v>
      </c>
      <c r="T102" s="20">
        <v>2.7</v>
      </c>
      <c r="U102" s="7">
        <f t="shared" ref="U102:U107" si="48">E102*T102</f>
        <v>0</v>
      </c>
      <c r="W102" s="119">
        <f t="shared" si="42"/>
        <v>3.7276199999999995</v>
      </c>
      <c r="X102" s="7">
        <f t="shared" si="43"/>
        <v>0</v>
      </c>
      <c r="AC102" s="15"/>
    </row>
    <row r="103" spans="1:29" ht="15.65" customHeight="1" x14ac:dyDescent="0.25">
      <c r="B103" s="159" t="s">
        <v>105</v>
      </c>
      <c r="C103" s="110" t="s">
        <v>158</v>
      </c>
      <c r="D103" s="9" t="s">
        <v>260</v>
      </c>
      <c r="E103" s="78"/>
      <c r="F103" s="78"/>
      <c r="G103" s="1">
        <v>108</v>
      </c>
      <c r="H103" s="5">
        <f t="shared" si="44"/>
        <v>0</v>
      </c>
      <c r="I103" s="1">
        <v>0.77</v>
      </c>
      <c r="J103" s="1">
        <v>0.37</v>
      </c>
      <c r="K103" s="1">
        <v>0.23</v>
      </c>
      <c r="L103" s="1">
        <v>25.5</v>
      </c>
      <c r="M103" s="6">
        <f t="shared" si="45"/>
        <v>0</v>
      </c>
      <c r="N103" s="11">
        <v>1296</v>
      </c>
      <c r="O103" s="6">
        <f>E103/N103</f>
        <v>0</v>
      </c>
      <c r="P103" s="7">
        <f t="shared" si="46"/>
        <v>0</v>
      </c>
      <c r="Q103" s="56">
        <v>0.69899999999999995</v>
      </c>
      <c r="R103" s="8">
        <f t="shared" si="47"/>
        <v>0</v>
      </c>
      <c r="S103" s="56">
        <v>0.82199999999999995</v>
      </c>
      <c r="T103" s="3">
        <v>3.51</v>
      </c>
      <c r="U103" s="7">
        <f t="shared" si="48"/>
        <v>0</v>
      </c>
      <c r="W103" s="119">
        <f t="shared" si="42"/>
        <v>4.8459059999999985</v>
      </c>
      <c r="X103" s="7">
        <f t="shared" si="43"/>
        <v>0</v>
      </c>
      <c r="AC103" s="15">
        <v>8423224821725</v>
      </c>
    </row>
    <row r="104" spans="1:29" ht="15.65" customHeight="1" x14ac:dyDescent="0.25">
      <c r="A104" s="9" t="s">
        <v>278</v>
      </c>
      <c r="B104" s="159" t="s">
        <v>106</v>
      </c>
      <c r="C104" s="110" t="s">
        <v>159</v>
      </c>
      <c r="D104" s="9" t="s">
        <v>258</v>
      </c>
      <c r="E104" s="78"/>
      <c r="F104" s="78"/>
      <c r="G104" s="1">
        <v>108</v>
      </c>
      <c r="H104" s="5">
        <f t="shared" si="44"/>
        <v>0</v>
      </c>
      <c r="I104" s="1">
        <v>0.77</v>
      </c>
      <c r="J104" s="1">
        <v>0.37</v>
      </c>
      <c r="K104" s="1">
        <v>0.23</v>
      </c>
      <c r="L104" s="1">
        <v>25.5</v>
      </c>
      <c r="M104" s="6">
        <f t="shared" si="45"/>
        <v>0</v>
      </c>
      <c r="N104" s="11">
        <v>1296</v>
      </c>
      <c r="O104" s="6">
        <f>E104/N104</f>
        <v>0</v>
      </c>
      <c r="P104" s="7">
        <f t="shared" si="46"/>
        <v>0</v>
      </c>
      <c r="Q104" s="56">
        <v>0.69899999999999995</v>
      </c>
      <c r="R104" s="8">
        <f t="shared" si="47"/>
        <v>0</v>
      </c>
      <c r="S104" s="56">
        <v>0.82199999999999995</v>
      </c>
      <c r="T104" s="3">
        <v>3.51</v>
      </c>
      <c r="U104" s="7">
        <f t="shared" si="48"/>
        <v>0</v>
      </c>
      <c r="W104" s="119">
        <f t="shared" si="42"/>
        <v>4.8459059999999985</v>
      </c>
      <c r="X104" s="7">
        <f t="shared" si="43"/>
        <v>0</v>
      </c>
      <c r="AC104" s="15">
        <v>8423224835845</v>
      </c>
    </row>
    <row r="105" spans="1:29" ht="15.65" customHeight="1" x14ac:dyDescent="0.25">
      <c r="A105" s="9" t="s">
        <v>278</v>
      </c>
      <c r="B105" s="104" t="s">
        <v>107</v>
      </c>
      <c r="C105" s="111" t="s">
        <v>213</v>
      </c>
      <c r="D105" s="9" t="s">
        <v>271</v>
      </c>
      <c r="E105" s="78"/>
      <c r="F105" s="78"/>
      <c r="G105" s="1">
        <v>108</v>
      </c>
      <c r="H105" s="5">
        <f t="shared" si="44"/>
        <v>0</v>
      </c>
      <c r="I105" s="1">
        <v>0.77</v>
      </c>
      <c r="J105" s="1">
        <v>0.37</v>
      </c>
      <c r="K105" s="1">
        <v>0.23</v>
      </c>
      <c r="L105" s="1">
        <v>25.5</v>
      </c>
      <c r="M105" s="6">
        <f t="shared" si="45"/>
        <v>0</v>
      </c>
      <c r="N105" s="11">
        <v>1296</v>
      </c>
      <c r="O105" s="6">
        <f>E105/N105</f>
        <v>0</v>
      </c>
      <c r="P105" s="7">
        <f t="shared" si="46"/>
        <v>0</v>
      </c>
      <c r="Q105" s="56">
        <f t="shared" ref="Q105:Q131" si="49">S105*0.85</f>
        <v>0.76839999999999997</v>
      </c>
      <c r="R105" s="8">
        <f>E105*Q105</f>
        <v>0</v>
      </c>
      <c r="S105" s="58">
        <v>0.90400000000000003</v>
      </c>
      <c r="T105" s="3">
        <v>3.51</v>
      </c>
      <c r="U105" s="7">
        <f t="shared" si="48"/>
        <v>0</v>
      </c>
      <c r="W105" s="119">
        <f t="shared" si="42"/>
        <v>4.8459059999999985</v>
      </c>
      <c r="X105" s="7">
        <f t="shared" si="43"/>
        <v>0</v>
      </c>
      <c r="AC105" s="15">
        <v>8423224835852</v>
      </c>
    </row>
    <row r="106" spans="1:29" ht="15.65" customHeight="1" x14ac:dyDescent="0.25">
      <c r="A106" s="9" t="s">
        <v>92</v>
      </c>
      <c r="B106" s="104" t="s">
        <v>108</v>
      </c>
      <c r="C106" s="108"/>
      <c r="D106" s="9" t="s">
        <v>263</v>
      </c>
      <c r="E106" s="78"/>
      <c r="F106" s="78"/>
      <c r="G106" s="1">
        <v>108</v>
      </c>
      <c r="H106" s="5">
        <f t="shared" si="44"/>
        <v>0</v>
      </c>
      <c r="I106" s="1">
        <v>0.77</v>
      </c>
      <c r="J106" s="1">
        <v>0.37</v>
      </c>
      <c r="K106" s="1">
        <v>0.23</v>
      </c>
      <c r="L106" s="1">
        <v>25.5</v>
      </c>
      <c r="M106" s="6">
        <f t="shared" si="45"/>
        <v>0</v>
      </c>
      <c r="N106" s="11">
        <v>1296</v>
      </c>
      <c r="O106" s="6">
        <f>E106/N106</f>
        <v>0</v>
      </c>
      <c r="P106" s="7">
        <f t="shared" si="46"/>
        <v>0</v>
      </c>
      <c r="Q106" s="56">
        <f t="shared" si="49"/>
        <v>0.78454999999999997</v>
      </c>
      <c r="R106" s="8">
        <f t="shared" si="47"/>
        <v>0</v>
      </c>
      <c r="S106" s="56">
        <v>0.92300000000000004</v>
      </c>
      <c r="T106" s="3">
        <v>3.79</v>
      </c>
      <c r="U106" s="7">
        <f t="shared" si="48"/>
        <v>0</v>
      </c>
      <c r="W106" s="119">
        <f t="shared" si="42"/>
        <v>5.232473999999999</v>
      </c>
      <c r="X106" s="7">
        <f t="shared" si="43"/>
        <v>0</v>
      </c>
      <c r="AC106" s="15">
        <v>8423224835869</v>
      </c>
    </row>
    <row r="107" spans="1:29" ht="15.65" customHeight="1" x14ac:dyDescent="0.25">
      <c r="A107" s="9"/>
      <c r="B107" s="104" t="s">
        <v>109</v>
      </c>
      <c r="C107" s="96" t="s">
        <v>157</v>
      </c>
      <c r="D107" s="9" t="s">
        <v>294</v>
      </c>
      <c r="E107" s="78"/>
      <c r="F107" s="78"/>
      <c r="G107" s="1">
        <v>108</v>
      </c>
      <c r="H107" s="5">
        <f t="shared" si="44"/>
        <v>0</v>
      </c>
      <c r="I107" s="1">
        <v>0.77</v>
      </c>
      <c r="J107" s="1">
        <v>0.37</v>
      </c>
      <c r="K107" s="1">
        <v>0.23</v>
      </c>
      <c r="L107" s="1">
        <v>25.5</v>
      </c>
      <c r="M107" s="6">
        <f t="shared" si="45"/>
        <v>0</v>
      </c>
      <c r="N107" s="11">
        <v>1296</v>
      </c>
      <c r="O107" s="6">
        <f>E107/N107</f>
        <v>0</v>
      </c>
      <c r="P107" s="7">
        <f t="shared" si="46"/>
        <v>0</v>
      </c>
      <c r="Q107" s="56">
        <f t="shared" si="49"/>
        <v>0.78454999999999997</v>
      </c>
      <c r="R107" s="8">
        <f t="shared" si="47"/>
        <v>0</v>
      </c>
      <c r="S107" s="56">
        <v>0.92300000000000004</v>
      </c>
      <c r="T107" s="3">
        <v>3.85</v>
      </c>
      <c r="U107" s="7">
        <f t="shared" si="48"/>
        <v>0</v>
      </c>
      <c r="W107" s="119">
        <f t="shared" si="42"/>
        <v>5.3153100000000002</v>
      </c>
      <c r="X107" s="7">
        <f t="shared" si="43"/>
        <v>0</v>
      </c>
      <c r="AC107" s="15">
        <v>8423224821718</v>
      </c>
    </row>
    <row r="108" spans="1:29" ht="15.65" customHeight="1" x14ac:dyDescent="0.25">
      <c r="A108" s="9"/>
      <c r="B108" s="104"/>
      <c r="C108" s="108"/>
      <c r="D108" s="9"/>
      <c r="E108" s="78"/>
      <c r="F108" s="116"/>
      <c r="H108" s="5"/>
      <c r="M108" s="6"/>
      <c r="N108" s="11"/>
      <c r="O108" s="6"/>
      <c r="P108" s="7"/>
      <c r="Q108" s="56"/>
      <c r="R108" s="8"/>
      <c r="S108" s="56"/>
      <c r="T108" s="3"/>
      <c r="U108" s="7"/>
      <c r="W108" s="119">
        <f t="shared" si="42"/>
        <v>0</v>
      </c>
      <c r="X108" s="7">
        <f t="shared" si="43"/>
        <v>0</v>
      </c>
      <c r="AC108" s="15"/>
    </row>
    <row r="109" spans="1:29" ht="15.65" customHeight="1" x14ac:dyDescent="0.25">
      <c r="A109" s="9" t="s">
        <v>297</v>
      </c>
      <c r="B109" s="104" t="s">
        <v>110</v>
      </c>
      <c r="C109" s="96" t="s">
        <v>239</v>
      </c>
      <c r="D109" s="1" t="s">
        <v>257</v>
      </c>
      <c r="E109" s="78"/>
      <c r="F109" s="78"/>
      <c r="G109" s="1">
        <v>78</v>
      </c>
      <c r="H109" s="5">
        <f>E109/G109</f>
        <v>0</v>
      </c>
      <c r="I109" s="6">
        <v>0.4</v>
      </c>
      <c r="J109" s="6">
        <v>0.3</v>
      </c>
      <c r="K109" s="1">
        <v>0.27</v>
      </c>
      <c r="L109" s="1">
        <v>20</v>
      </c>
      <c r="M109" s="6">
        <f>H109*I109*J109*K109</f>
        <v>0</v>
      </c>
      <c r="N109" s="11"/>
      <c r="O109" s="6"/>
      <c r="P109" s="7">
        <f>H109*L109</f>
        <v>0</v>
      </c>
      <c r="Q109" s="56">
        <f t="shared" si="49"/>
        <v>0.8296</v>
      </c>
      <c r="R109" s="8">
        <f>E109*Q109</f>
        <v>0</v>
      </c>
      <c r="S109" s="56">
        <v>0.97599999999999998</v>
      </c>
      <c r="T109" s="20">
        <v>4.17</v>
      </c>
      <c r="U109" s="7">
        <f>E109*T109</f>
        <v>0</v>
      </c>
      <c r="W109" s="119">
        <f t="shared" si="42"/>
        <v>5.7571019999999997</v>
      </c>
      <c r="X109" s="7">
        <f t="shared" si="43"/>
        <v>0</v>
      </c>
      <c r="AC109" s="15"/>
    </row>
    <row r="110" spans="1:29" ht="15.65" customHeight="1" x14ac:dyDescent="0.25">
      <c r="B110" s="104" t="s">
        <v>111</v>
      </c>
      <c r="C110" s="96" t="s">
        <v>215</v>
      </c>
      <c r="D110" s="9" t="s">
        <v>260</v>
      </c>
      <c r="E110" s="78"/>
      <c r="F110" s="78"/>
      <c r="G110" s="1">
        <v>72</v>
      </c>
      <c r="H110" s="5">
        <f>E110/G110</f>
        <v>0</v>
      </c>
      <c r="I110" s="6">
        <v>0.6</v>
      </c>
      <c r="J110" s="1">
        <v>0.46</v>
      </c>
      <c r="K110" s="1">
        <v>0.23</v>
      </c>
      <c r="L110" s="1">
        <v>23</v>
      </c>
      <c r="M110" s="6">
        <f>H110*I110*J110*K110</f>
        <v>0</v>
      </c>
      <c r="N110" s="11">
        <v>864</v>
      </c>
      <c r="O110" s="6">
        <f>E110/N110</f>
        <v>0</v>
      </c>
      <c r="P110" s="7">
        <f>H110*L110</f>
        <v>0</v>
      </c>
      <c r="Q110" s="56">
        <f t="shared" si="49"/>
        <v>0.98175000000000001</v>
      </c>
      <c r="R110" s="8">
        <f>E110*Q110</f>
        <v>0</v>
      </c>
      <c r="S110" s="56">
        <v>1.155</v>
      </c>
      <c r="T110" s="20">
        <v>4.8</v>
      </c>
      <c r="U110" s="7">
        <f>E110*T110</f>
        <v>0</v>
      </c>
      <c r="W110" s="119">
        <f t="shared" si="42"/>
        <v>6.626879999999999</v>
      </c>
      <c r="X110" s="7">
        <f t="shared" si="43"/>
        <v>0</v>
      </c>
      <c r="AC110" s="15">
        <v>8423224821749</v>
      </c>
    </row>
    <row r="111" spans="1:29" ht="15.65" customHeight="1" x14ac:dyDescent="0.25">
      <c r="A111" s="9" t="s">
        <v>278</v>
      </c>
      <c r="B111" s="159" t="s">
        <v>112</v>
      </c>
      <c r="C111" s="96" t="s">
        <v>214</v>
      </c>
      <c r="D111" s="9" t="s">
        <v>258</v>
      </c>
      <c r="E111" s="78"/>
      <c r="F111" s="78"/>
      <c r="G111" s="1">
        <v>72</v>
      </c>
      <c r="H111" s="5">
        <f>E111/G111</f>
        <v>0</v>
      </c>
      <c r="I111" s="6">
        <v>0.6</v>
      </c>
      <c r="J111" s="1">
        <v>0.46</v>
      </c>
      <c r="K111" s="1">
        <v>0.23</v>
      </c>
      <c r="L111" s="1">
        <v>23</v>
      </c>
      <c r="M111" s="6">
        <f>H111*I111*J111*K111</f>
        <v>0</v>
      </c>
      <c r="N111" s="11">
        <v>864</v>
      </c>
      <c r="O111" s="6">
        <f>E111/N111</f>
        <v>0</v>
      </c>
      <c r="P111" s="7">
        <f>H111*L111</f>
        <v>0</v>
      </c>
      <c r="Q111" s="56">
        <f t="shared" si="49"/>
        <v>0.98175000000000001</v>
      </c>
      <c r="R111" s="8">
        <f>E111*Q111</f>
        <v>0</v>
      </c>
      <c r="S111" s="56">
        <v>1.155</v>
      </c>
      <c r="T111" s="20">
        <v>4.8</v>
      </c>
      <c r="U111" s="7">
        <f>E111*T111</f>
        <v>0</v>
      </c>
      <c r="W111" s="119">
        <f t="shared" si="42"/>
        <v>6.626879999999999</v>
      </c>
      <c r="X111" s="7">
        <f t="shared" si="43"/>
        <v>0</v>
      </c>
      <c r="AC111" s="15">
        <v>8423224835876</v>
      </c>
    </row>
    <row r="112" spans="1:29" ht="15.65" customHeight="1" x14ac:dyDescent="0.25">
      <c r="A112" s="9" t="s">
        <v>92</v>
      </c>
      <c r="B112" s="104" t="s">
        <v>113</v>
      </c>
      <c r="C112" s="96" t="s">
        <v>392</v>
      </c>
      <c r="D112" s="9" t="s">
        <v>263</v>
      </c>
      <c r="E112" s="78"/>
      <c r="F112" s="78"/>
      <c r="G112" s="1">
        <v>72</v>
      </c>
      <c r="H112" s="5">
        <f>E112/G112</f>
        <v>0</v>
      </c>
      <c r="I112" s="6">
        <v>0.6</v>
      </c>
      <c r="J112" s="1">
        <v>0.46</v>
      </c>
      <c r="K112" s="1">
        <v>0.23</v>
      </c>
      <c r="L112" s="1">
        <v>23</v>
      </c>
      <c r="M112" s="6">
        <f>H112*I112*J112*K112</f>
        <v>0</v>
      </c>
      <c r="N112" s="11">
        <v>864</v>
      </c>
      <c r="O112" s="6">
        <f>E112/N112</f>
        <v>0</v>
      </c>
      <c r="P112" s="7">
        <f>H112*L112</f>
        <v>0</v>
      </c>
      <c r="Q112" s="56">
        <f t="shared" si="49"/>
        <v>1.0905499999999999</v>
      </c>
      <c r="R112" s="8">
        <f>E112*Q112</f>
        <v>0</v>
      </c>
      <c r="S112" s="56">
        <v>1.2829999999999999</v>
      </c>
      <c r="T112" s="20">
        <v>5.17</v>
      </c>
      <c r="U112" s="7">
        <f>E112*T112</f>
        <v>0</v>
      </c>
      <c r="W112" s="119">
        <f t="shared" si="42"/>
        <v>7.1377019999999991</v>
      </c>
      <c r="X112" s="7">
        <f t="shared" si="43"/>
        <v>0</v>
      </c>
      <c r="AC112" s="15">
        <v>8423224835883</v>
      </c>
    </row>
    <row r="113" spans="1:29" ht="15.65" customHeight="1" x14ac:dyDescent="0.25">
      <c r="A113" s="9"/>
      <c r="B113" s="104" t="s">
        <v>114</v>
      </c>
      <c r="C113" s="96" t="s">
        <v>391</v>
      </c>
      <c r="D113" s="9" t="s">
        <v>294</v>
      </c>
      <c r="E113" s="78"/>
      <c r="F113" s="78"/>
      <c r="G113" s="1">
        <v>72</v>
      </c>
      <c r="H113" s="5">
        <f>E113/G113</f>
        <v>0</v>
      </c>
      <c r="I113" s="6">
        <v>0.6</v>
      </c>
      <c r="J113" s="1">
        <v>0.46</v>
      </c>
      <c r="K113" s="1">
        <v>0.23</v>
      </c>
      <c r="L113" s="1">
        <v>23</v>
      </c>
      <c r="M113" s="6">
        <f>H113*I113*J113*K113</f>
        <v>0</v>
      </c>
      <c r="N113" s="11">
        <v>864</v>
      </c>
      <c r="O113" s="6">
        <f>E113/N113</f>
        <v>0</v>
      </c>
      <c r="P113" s="7">
        <f>H113*L113</f>
        <v>0</v>
      </c>
      <c r="Q113" s="56">
        <f t="shared" si="49"/>
        <v>1.0905499999999999</v>
      </c>
      <c r="R113" s="8">
        <f>E113*Q113</f>
        <v>0</v>
      </c>
      <c r="S113" s="56">
        <v>1.2829999999999999</v>
      </c>
      <c r="T113" s="20">
        <v>5.22</v>
      </c>
      <c r="U113" s="7">
        <f>E113*T113</f>
        <v>0</v>
      </c>
      <c r="W113" s="119">
        <f t="shared" si="42"/>
        <v>7.2067319999999988</v>
      </c>
      <c r="X113" s="7">
        <f t="shared" si="43"/>
        <v>0</v>
      </c>
      <c r="AC113" s="15">
        <v>8423224821732</v>
      </c>
    </row>
    <row r="114" spans="1:29" ht="15.65" customHeight="1" x14ac:dyDescent="0.25">
      <c r="A114" s="9"/>
      <c r="B114" s="104"/>
      <c r="C114" s="108"/>
      <c r="D114" s="9"/>
      <c r="E114" s="78"/>
      <c r="F114" s="78"/>
      <c r="H114" s="5"/>
      <c r="I114" s="6"/>
      <c r="M114" s="6"/>
      <c r="N114" s="11"/>
      <c r="O114" s="6"/>
      <c r="P114" s="7"/>
      <c r="Q114" s="56"/>
      <c r="R114" s="8"/>
      <c r="S114" s="56"/>
      <c r="T114" s="3" t="s">
        <v>298</v>
      </c>
      <c r="U114" s="7"/>
      <c r="W114" s="119"/>
      <c r="X114" s="7">
        <f t="shared" si="43"/>
        <v>0</v>
      </c>
      <c r="AC114" s="15"/>
    </row>
    <row r="115" spans="1:29" ht="15.65" customHeight="1" x14ac:dyDescent="0.25">
      <c r="A115" s="9" t="s">
        <v>299</v>
      </c>
      <c r="B115" s="104" t="s">
        <v>115</v>
      </c>
      <c r="C115" s="108"/>
      <c r="D115" s="9" t="s">
        <v>300</v>
      </c>
      <c r="E115" s="78"/>
      <c r="F115" s="78"/>
      <c r="G115" s="1">
        <v>144</v>
      </c>
      <c r="H115" s="5">
        <f>E115/G115</f>
        <v>0</v>
      </c>
      <c r="I115" s="1">
        <v>0.85</v>
      </c>
      <c r="J115" s="1">
        <v>0.47</v>
      </c>
      <c r="K115" s="1">
        <v>0.24</v>
      </c>
      <c r="L115" s="1">
        <v>40</v>
      </c>
      <c r="M115" s="6">
        <f>H115*I115*J115*K115</f>
        <v>0</v>
      </c>
      <c r="N115" s="11">
        <v>1296</v>
      </c>
      <c r="O115" s="6">
        <f>E115/N115</f>
        <v>0</v>
      </c>
      <c r="P115" s="7">
        <f>H115*L115</f>
        <v>0</v>
      </c>
      <c r="Q115" s="56">
        <f>S115*0.85</f>
        <v>1.42885</v>
      </c>
      <c r="R115" s="8">
        <f>E115*Q115</f>
        <v>0</v>
      </c>
      <c r="S115" s="56">
        <v>1.681</v>
      </c>
      <c r="T115" s="19">
        <v>6.77</v>
      </c>
      <c r="U115" s="7">
        <f>E115*T115</f>
        <v>0</v>
      </c>
      <c r="W115" s="119">
        <f t="shared" si="42"/>
        <v>9.3466619999999985</v>
      </c>
      <c r="X115" s="7">
        <f t="shared" si="43"/>
        <v>0</v>
      </c>
      <c r="AC115" s="15">
        <v>8423224835890</v>
      </c>
    </row>
    <row r="116" spans="1:29" ht="15.65" customHeight="1" x14ac:dyDescent="0.25">
      <c r="A116" s="9"/>
      <c r="B116" s="104" t="s">
        <v>116</v>
      </c>
      <c r="C116" s="108"/>
      <c r="D116" s="9" t="s">
        <v>259</v>
      </c>
      <c r="E116" s="78"/>
      <c r="F116" s="78"/>
      <c r="G116" s="1">
        <v>144</v>
      </c>
      <c r="H116" s="5">
        <f>E116/G116</f>
        <v>0</v>
      </c>
      <c r="I116" s="1">
        <v>0.85</v>
      </c>
      <c r="J116" s="1">
        <v>0.47</v>
      </c>
      <c r="K116" s="1">
        <v>0.24</v>
      </c>
      <c r="L116" s="1">
        <v>40</v>
      </c>
      <c r="M116" s="6">
        <f>H116*I116*J116*K116</f>
        <v>0</v>
      </c>
      <c r="N116" s="11">
        <v>1296</v>
      </c>
      <c r="O116" s="6">
        <f>E116/N116</f>
        <v>0</v>
      </c>
      <c r="P116" s="7">
        <f>H116*L116</f>
        <v>0</v>
      </c>
      <c r="Q116" s="56">
        <f t="shared" si="49"/>
        <v>1.42885</v>
      </c>
      <c r="R116" s="8">
        <f>E116*Q116</f>
        <v>0</v>
      </c>
      <c r="S116" s="56">
        <v>1.681</v>
      </c>
      <c r="T116" s="19">
        <v>6.77</v>
      </c>
      <c r="U116" s="7">
        <f>E116*T116</f>
        <v>0</v>
      </c>
      <c r="W116" s="119">
        <f t="shared" si="42"/>
        <v>9.3466619999999985</v>
      </c>
      <c r="X116" s="7">
        <f t="shared" si="43"/>
        <v>0</v>
      </c>
      <c r="AC116" s="15">
        <v>8423224835579</v>
      </c>
    </row>
    <row r="117" spans="1:29" ht="15.65" customHeight="1" x14ac:dyDescent="0.25">
      <c r="A117" s="9"/>
      <c r="B117" s="104" t="s">
        <v>117</v>
      </c>
      <c r="C117" s="108"/>
      <c r="D117" s="9" t="s">
        <v>118</v>
      </c>
      <c r="E117" s="78"/>
      <c r="F117" s="78"/>
      <c r="G117" s="1">
        <v>144</v>
      </c>
      <c r="H117" s="5">
        <f>E117/G117</f>
        <v>0</v>
      </c>
      <c r="I117" s="1">
        <v>0.85</v>
      </c>
      <c r="J117" s="1">
        <v>0.47</v>
      </c>
      <c r="K117" s="1">
        <v>0.24</v>
      </c>
      <c r="L117" s="1">
        <v>40</v>
      </c>
      <c r="M117" s="6">
        <f>H117*I117*J117*K117</f>
        <v>0</v>
      </c>
      <c r="N117" s="11">
        <v>1296</v>
      </c>
      <c r="O117" s="6">
        <f>E117/N117</f>
        <v>0</v>
      </c>
      <c r="P117" s="7">
        <f>H117*L117</f>
        <v>0</v>
      </c>
      <c r="Q117" s="56">
        <f t="shared" si="49"/>
        <v>1.42885</v>
      </c>
      <c r="R117" s="8">
        <f>E117*Q117</f>
        <v>0</v>
      </c>
      <c r="S117" s="56">
        <v>1.681</v>
      </c>
      <c r="T117" s="19">
        <v>6.77</v>
      </c>
      <c r="U117" s="7">
        <f>E117*T117</f>
        <v>0</v>
      </c>
      <c r="W117" s="119">
        <f t="shared" si="42"/>
        <v>9.3466619999999985</v>
      </c>
      <c r="X117" s="7">
        <f t="shared" si="43"/>
        <v>0</v>
      </c>
      <c r="AC117" s="15">
        <v>8423224835586</v>
      </c>
    </row>
    <row r="118" spans="1:29" ht="15.65" customHeight="1" x14ac:dyDescent="0.25">
      <c r="A118" s="9"/>
      <c r="B118" s="104"/>
      <c r="C118" s="108"/>
      <c r="D118" s="9"/>
      <c r="E118" s="78"/>
      <c r="F118" s="78"/>
      <c r="H118" s="5"/>
      <c r="I118" s="6"/>
      <c r="M118" s="6"/>
      <c r="N118" s="11"/>
      <c r="O118" s="6"/>
      <c r="P118" s="7"/>
      <c r="Q118" s="56"/>
      <c r="R118" s="8"/>
      <c r="S118" s="56"/>
      <c r="T118" s="3"/>
      <c r="U118" s="7"/>
      <c r="W118" s="119">
        <f t="shared" si="42"/>
        <v>0</v>
      </c>
      <c r="X118" s="7">
        <f t="shared" si="43"/>
        <v>0</v>
      </c>
      <c r="AC118" s="15"/>
    </row>
    <row r="119" spans="1:29" ht="15.65" customHeight="1" x14ac:dyDescent="0.25">
      <c r="A119" s="9" t="s">
        <v>301</v>
      </c>
      <c r="B119" s="104" t="s">
        <v>119</v>
      </c>
      <c r="C119" s="108"/>
      <c r="D119" s="9" t="s">
        <v>300</v>
      </c>
      <c r="E119" s="78"/>
      <c r="F119" s="78"/>
      <c r="G119" s="1">
        <v>144</v>
      </c>
      <c r="H119" s="5">
        <f>E119/G119</f>
        <v>0</v>
      </c>
      <c r="I119" s="1">
        <v>0.85</v>
      </c>
      <c r="J119" s="1">
        <v>0.47</v>
      </c>
      <c r="K119" s="1">
        <v>0.24</v>
      </c>
      <c r="L119" s="1">
        <v>46</v>
      </c>
      <c r="M119" s="6">
        <f>H119*I119*J119*K119</f>
        <v>0</v>
      </c>
      <c r="N119" s="11">
        <v>1296</v>
      </c>
      <c r="O119" s="6">
        <f>E119/N119</f>
        <v>0</v>
      </c>
      <c r="P119" s="7">
        <f>H119*L119</f>
        <v>0</v>
      </c>
      <c r="Q119" s="56">
        <f t="shared" si="49"/>
        <v>1.53765</v>
      </c>
      <c r="R119" s="8">
        <f>E119*Q119</f>
        <v>0</v>
      </c>
      <c r="S119" s="56">
        <v>1.8089999999999999</v>
      </c>
      <c r="T119" s="19">
        <v>7.3</v>
      </c>
      <c r="U119" s="7">
        <f>E119*T119</f>
        <v>0</v>
      </c>
      <c r="W119" s="119">
        <f t="shared" si="42"/>
        <v>10.078379999999997</v>
      </c>
      <c r="X119" s="7">
        <f t="shared" si="43"/>
        <v>0</v>
      </c>
      <c r="AC119" s="15">
        <v>8423224835906</v>
      </c>
    </row>
    <row r="120" spans="1:29" ht="15.65" customHeight="1" x14ac:dyDescent="0.25">
      <c r="A120" s="9"/>
      <c r="B120" s="104" t="s">
        <v>120</v>
      </c>
      <c r="C120" s="96"/>
      <c r="D120" s="9" t="s">
        <v>259</v>
      </c>
      <c r="E120" s="78"/>
      <c r="F120" s="78"/>
      <c r="G120" s="1">
        <v>144</v>
      </c>
      <c r="H120" s="5">
        <f>E120/G120</f>
        <v>0</v>
      </c>
      <c r="I120" s="1">
        <v>0.85</v>
      </c>
      <c r="J120" s="1">
        <v>0.47</v>
      </c>
      <c r="K120" s="1">
        <v>0.24</v>
      </c>
      <c r="L120" s="1">
        <v>46</v>
      </c>
      <c r="M120" s="6">
        <f>H120*I120*J120*K120</f>
        <v>0</v>
      </c>
      <c r="N120" s="11">
        <v>1296</v>
      </c>
      <c r="O120" s="6">
        <f>E120/N120</f>
        <v>0</v>
      </c>
      <c r="P120" s="7">
        <f>H120*L120</f>
        <v>0</v>
      </c>
      <c r="Q120" s="56">
        <f t="shared" si="49"/>
        <v>1.53765</v>
      </c>
      <c r="R120" s="8">
        <f>E120*Q120</f>
        <v>0</v>
      </c>
      <c r="S120" s="56">
        <v>1.8089999999999999</v>
      </c>
      <c r="T120" s="19">
        <v>7.3</v>
      </c>
      <c r="U120" s="7">
        <f>E120*T120</f>
        <v>0</v>
      </c>
      <c r="W120" s="119">
        <f t="shared" si="42"/>
        <v>10.078379999999997</v>
      </c>
      <c r="X120" s="7">
        <f t="shared" si="43"/>
        <v>0</v>
      </c>
      <c r="AC120" s="15">
        <v>8423224835593</v>
      </c>
    </row>
    <row r="121" spans="1:29" ht="15.65" customHeight="1" x14ac:dyDescent="0.25">
      <c r="A121" s="9"/>
      <c r="B121" s="104" t="s">
        <v>121</v>
      </c>
      <c r="C121" s="108"/>
      <c r="D121" s="9" t="s">
        <v>118</v>
      </c>
      <c r="E121" s="78"/>
      <c r="F121" s="78"/>
      <c r="G121" s="1">
        <v>144</v>
      </c>
      <c r="H121" s="5">
        <f>E121/G121</f>
        <v>0</v>
      </c>
      <c r="I121" s="1">
        <v>0.85</v>
      </c>
      <c r="J121" s="1">
        <v>0.47</v>
      </c>
      <c r="K121" s="1">
        <v>0.24</v>
      </c>
      <c r="L121" s="1">
        <v>46</v>
      </c>
      <c r="M121" s="6">
        <f>H121*I121*J121*K121</f>
        <v>0</v>
      </c>
      <c r="N121" s="11">
        <v>1296</v>
      </c>
      <c r="O121" s="6">
        <f>E121/N121</f>
        <v>0</v>
      </c>
      <c r="P121" s="7">
        <f>H121*L121</f>
        <v>0</v>
      </c>
      <c r="Q121" s="56">
        <f t="shared" si="49"/>
        <v>1.53765</v>
      </c>
      <c r="R121" s="8">
        <f>E121*Q121</f>
        <v>0</v>
      </c>
      <c r="S121" s="56">
        <v>1.8089999999999999</v>
      </c>
      <c r="T121" s="19">
        <v>7.3</v>
      </c>
      <c r="U121" s="7">
        <f>E121*T121</f>
        <v>0</v>
      </c>
      <c r="W121" s="119">
        <f t="shared" si="42"/>
        <v>10.078379999999997</v>
      </c>
      <c r="X121" s="7">
        <f t="shared" si="43"/>
        <v>0</v>
      </c>
      <c r="AC121" s="15">
        <v>8423224835609</v>
      </c>
    </row>
    <row r="122" spans="1:29" ht="15.65" customHeight="1" x14ac:dyDescent="0.25">
      <c r="A122" s="9"/>
      <c r="B122" s="104"/>
      <c r="C122" s="108"/>
      <c r="D122" s="9"/>
      <c r="E122" s="78"/>
      <c r="F122" s="78"/>
      <c r="H122" s="5"/>
      <c r="I122" s="6"/>
      <c r="M122" s="6"/>
      <c r="N122" s="11"/>
      <c r="O122" s="6"/>
      <c r="P122" s="7"/>
      <c r="Q122" s="56"/>
      <c r="R122" s="8"/>
      <c r="S122" s="56"/>
      <c r="T122" s="3" t="s">
        <v>298</v>
      </c>
      <c r="U122" s="7"/>
      <c r="W122" s="119"/>
      <c r="X122" s="7">
        <f t="shared" si="43"/>
        <v>0</v>
      </c>
      <c r="AC122" s="15"/>
    </row>
    <row r="123" spans="1:29" ht="15.65" customHeight="1" x14ac:dyDescent="0.25">
      <c r="A123" s="9" t="s">
        <v>302</v>
      </c>
      <c r="B123" s="104" t="s">
        <v>231</v>
      </c>
      <c r="C123" s="108"/>
      <c r="D123" s="9" t="s">
        <v>293</v>
      </c>
      <c r="E123" s="113"/>
      <c r="F123" s="78"/>
      <c r="G123" s="1">
        <v>72</v>
      </c>
      <c r="H123" s="5">
        <f>E123/G123</f>
        <v>0</v>
      </c>
      <c r="I123" s="1">
        <v>0.59</v>
      </c>
      <c r="J123" s="1">
        <v>0.38</v>
      </c>
      <c r="K123" s="1">
        <v>0.28000000000000003</v>
      </c>
      <c r="L123" s="1">
        <v>18.5</v>
      </c>
      <c r="M123" s="6">
        <f>H123*I123*J123*K123</f>
        <v>0</v>
      </c>
      <c r="N123" s="11">
        <v>1296</v>
      </c>
      <c r="O123" s="6">
        <f>E123/N123</f>
        <v>0</v>
      </c>
      <c r="P123" s="7">
        <f>H123*L123</f>
        <v>0</v>
      </c>
      <c r="Q123" s="56">
        <f t="shared" si="49"/>
        <v>0.77095000000000002</v>
      </c>
      <c r="R123" s="8">
        <f>E123*Q123</f>
        <v>0</v>
      </c>
      <c r="S123" s="56">
        <v>0.90700000000000003</v>
      </c>
      <c r="T123" s="19">
        <v>3.5</v>
      </c>
      <c r="U123" s="7">
        <f>E123*T123</f>
        <v>0</v>
      </c>
      <c r="W123" s="119">
        <f t="shared" si="42"/>
        <v>4.8320999999999996</v>
      </c>
      <c r="X123" s="7">
        <f t="shared" si="43"/>
        <v>0</v>
      </c>
      <c r="AC123" s="15">
        <v>8423224835616</v>
      </c>
    </row>
    <row r="124" spans="1:29" ht="15.65" customHeight="1" x14ac:dyDescent="0.25">
      <c r="A124" s="9"/>
      <c r="B124" s="104" t="s">
        <v>122</v>
      </c>
      <c r="C124" s="108"/>
      <c r="D124" s="9" t="s">
        <v>300</v>
      </c>
      <c r="E124" s="113"/>
      <c r="F124" s="78"/>
      <c r="G124" s="1">
        <v>72</v>
      </c>
      <c r="H124" s="5">
        <f>E124/G124</f>
        <v>0</v>
      </c>
      <c r="I124" s="1">
        <v>0.59</v>
      </c>
      <c r="J124" s="1">
        <v>0.38</v>
      </c>
      <c r="K124" s="1">
        <v>0.28000000000000003</v>
      </c>
      <c r="L124" s="1">
        <v>18.5</v>
      </c>
      <c r="M124" s="6">
        <f>H124*I124*J124*K124</f>
        <v>0</v>
      </c>
      <c r="N124" s="11">
        <v>1296</v>
      </c>
      <c r="O124" s="6">
        <f>E124/N124</f>
        <v>0</v>
      </c>
      <c r="P124" s="7">
        <f>H124*L124</f>
        <v>0</v>
      </c>
      <c r="Q124" s="56">
        <f t="shared" si="49"/>
        <v>0.9163</v>
      </c>
      <c r="R124" s="8">
        <f>E124*Q124</f>
        <v>0</v>
      </c>
      <c r="S124" s="56">
        <v>1.0780000000000001</v>
      </c>
      <c r="T124" s="19">
        <v>4.49</v>
      </c>
      <c r="U124" s="7">
        <f>E124*T124</f>
        <v>0</v>
      </c>
      <c r="W124" s="119">
        <f t="shared" si="42"/>
        <v>6.1988940000000001</v>
      </c>
      <c r="X124" s="7">
        <f t="shared" si="43"/>
        <v>0</v>
      </c>
      <c r="AC124" s="15">
        <v>8423224835616</v>
      </c>
    </row>
    <row r="125" spans="1:29" ht="15.65" customHeight="1" x14ac:dyDescent="0.25">
      <c r="A125" s="9"/>
      <c r="B125" s="104" t="s">
        <v>123</v>
      </c>
      <c r="C125" s="108" t="s">
        <v>235</v>
      </c>
      <c r="D125" s="9" t="s">
        <v>259</v>
      </c>
      <c r="E125" s="113"/>
      <c r="F125" s="78"/>
      <c r="G125" s="1">
        <v>72</v>
      </c>
      <c r="H125" s="5">
        <f>E125/G125</f>
        <v>0</v>
      </c>
      <c r="I125" s="1">
        <v>0.59</v>
      </c>
      <c r="J125" s="1">
        <v>0.38</v>
      </c>
      <c r="K125" s="1">
        <v>0.28000000000000003</v>
      </c>
      <c r="L125" s="1">
        <v>18.5</v>
      </c>
      <c r="M125" s="6">
        <f>H125*I125*J125*K125</f>
        <v>0</v>
      </c>
      <c r="N125" s="11">
        <v>1296</v>
      </c>
      <c r="O125" s="6">
        <f>E125/N125</f>
        <v>0</v>
      </c>
      <c r="P125" s="7">
        <f>H125*L125</f>
        <v>0</v>
      </c>
      <c r="Q125" s="56">
        <f t="shared" si="49"/>
        <v>0.9163</v>
      </c>
      <c r="R125" s="8">
        <f>E125*Q125</f>
        <v>0</v>
      </c>
      <c r="S125" s="56">
        <v>1.0780000000000001</v>
      </c>
      <c r="T125" s="19">
        <v>4.49</v>
      </c>
      <c r="U125" s="7">
        <f>E125*T125</f>
        <v>0</v>
      </c>
      <c r="W125" s="119">
        <f t="shared" si="42"/>
        <v>6.1988940000000001</v>
      </c>
      <c r="X125" s="7">
        <f t="shared" si="43"/>
        <v>0</v>
      </c>
      <c r="AC125" s="15">
        <v>8423224835623</v>
      </c>
    </row>
    <row r="126" spans="1:29" ht="15.65" customHeight="1" x14ac:dyDescent="0.25">
      <c r="A126" s="9"/>
      <c r="B126" s="104" t="s">
        <v>124</v>
      </c>
      <c r="C126" s="108"/>
      <c r="D126" s="9" t="s">
        <v>118</v>
      </c>
      <c r="E126" s="113"/>
      <c r="F126" s="78"/>
      <c r="G126" s="1">
        <v>72</v>
      </c>
      <c r="H126" s="5">
        <f>E126/G126</f>
        <v>0</v>
      </c>
      <c r="I126" s="1">
        <v>0.59</v>
      </c>
      <c r="J126" s="1">
        <v>0.38</v>
      </c>
      <c r="K126" s="1">
        <v>0.28000000000000003</v>
      </c>
      <c r="L126" s="1">
        <v>18.5</v>
      </c>
      <c r="M126" s="6">
        <f>H126*I126*J126*K126</f>
        <v>0</v>
      </c>
      <c r="N126" s="11">
        <v>1296</v>
      </c>
      <c r="O126" s="6">
        <f>E126/N126</f>
        <v>0</v>
      </c>
      <c r="P126" s="7">
        <f>H126*L126</f>
        <v>0</v>
      </c>
      <c r="Q126" s="56">
        <f t="shared" si="49"/>
        <v>0.9163</v>
      </c>
      <c r="R126" s="8">
        <f>E126*Q126</f>
        <v>0</v>
      </c>
      <c r="S126" s="56">
        <v>1.0780000000000001</v>
      </c>
      <c r="T126" s="19">
        <v>4.49</v>
      </c>
      <c r="U126" s="7">
        <f>E126*T126</f>
        <v>0</v>
      </c>
      <c r="W126" s="119">
        <f>T126*1.17*1.18</f>
        <v>6.1988940000000001</v>
      </c>
      <c r="X126" s="7">
        <f t="shared" si="43"/>
        <v>0</v>
      </c>
      <c r="AC126" s="15">
        <v>8423224835630</v>
      </c>
    </row>
    <row r="127" spans="1:29" ht="15.65" customHeight="1" x14ac:dyDescent="0.25">
      <c r="A127" s="9"/>
      <c r="B127" s="104"/>
      <c r="C127" s="108"/>
      <c r="D127" s="9"/>
      <c r="E127" s="113"/>
      <c r="F127" s="78"/>
      <c r="H127" s="5"/>
      <c r="I127" s="6"/>
      <c r="M127" s="6"/>
      <c r="N127" s="11"/>
      <c r="O127" s="6"/>
      <c r="P127" s="7"/>
      <c r="Q127" s="56"/>
      <c r="R127" s="8"/>
      <c r="S127" s="56"/>
      <c r="T127" s="3"/>
      <c r="U127" s="7"/>
      <c r="W127" s="119">
        <f t="shared" si="42"/>
        <v>0</v>
      </c>
      <c r="X127" s="7">
        <f t="shared" si="43"/>
        <v>0</v>
      </c>
      <c r="AC127" s="15"/>
    </row>
    <row r="128" spans="1:29" ht="15.65" customHeight="1" x14ac:dyDescent="0.25">
      <c r="A128" s="9" t="s">
        <v>303</v>
      </c>
      <c r="B128" s="104" t="s">
        <v>232</v>
      </c>
      <c r="C128" s="96"/>
      <c r="D128" s="9" t="s">
        <v>293</v>
      </c>
      <c r="E128" s="113"/>
      <c r="F128" s="78"/>
      <c r="G128" s="1">
        <v>72</v>
      </c>
      <c r="H128" s="5">
        <f>E128/G128</f>
        <v>0</v>
      </c>
      <c r="I128" s="1">
        <v>0.61</v>
      </c>
      <c r="J128" s="1">
        <v>0.48</v>
      </c>
      <c r="K128" s="1">
        <v>0.28000000000000003</v>
      </c>
      <c r="L128" s="1">
        <v>24</v>
      </c>
      <c r="M128" s="6">
        <f>H128*I128*J128*K128</f>
        <v>0</v>
      </c>
      <c r="N128" s="11">
        <v>1296</v>
      </c>
      <c r="O128" s="6">
        <f>E128/N128</f>
        <v>0</v>
      </c>
      <c r="P128" s="7">
        <f>H128*L128</f>
        <v>0</v>
      </c>
      <c r="Q128" s="56">
        <f t="shared" si="49"/>
        <v>0.8296</v>
      </c>
      <c r="R128" s="8">
        <f>E128*Q128</f>
        <v>0</v>
      </c>
      <c r="S128" s="56">
        <v>0.97599999999999998</v>
      </c>
      <c r="T128" s="19">
        <v>3.7</v>
      </c>
      <c r="U128" s="7">
        <f>E128*T128</f>
        <v>0</v>
      </c>
      <c r="W128" s="119">
        <f t="shared" si="42"/>
        <v>5.1082199999999993</v>
      </c>
      <c r="X128" s="7">
        <f t="shared" si="43"/>
        <v>0</v>
      </c>
      <c r="AC128" s="15">
        <v>8423224835647</v>
      </c>
    </row>
    <row r="129" spans="1:29" ht="15.65" customHeight="1" x14ac:dyDescent="0.25">
      <c r="A129" s="9"/>
      <c r="B129" s="104" t="s">
        <v>125</v>
      </c>
      <c r="C129" s="96" t="s">
        <v>221</v>
      </c>
      <c r="D129" s="9" t="s">
        <v>300</v>
      </c>
      <c r="E129" s="113"/>
      <c r="F129" s="78"/>
      <c r="G129" s="1">
        <v>72</v>
      </c>
      <c r="H129" s="5">
        <f>E129/G129</f>
        <v>0</v>
      </c>
      <c r="I129" s="1">
        <v>0.61</v>
      </c>
      <c r="J129" s="1">
        <v>0.48</v>
      </c>
      <c r="K129" s="1">
        <v>0.28000000000000003</v>
      </c>
      <c r="L129" s="1">
        <v>24</v>
      </c>
      <c r="M129" s="6">
        <f>H129*I129*J129*K129</f>
        <v>0</v>
      </c>
      <c r="N129" s="11">
        <v>1296</v>
      </c>
      <c r="O129" s="6">
        <f>E129/N129</f>
        <v>0</v>
      </c>
      <c r="P129" s="7">
        <f>H129*L129</f>
        <v>0</v>
      </c>
      <c r="Q129" s="56">
        <f t="shared" si="49"/>
        <v>0.98175000000000001</v>
      </c>
      <c r="R129" s="8">
        <f>E129*Q129</f>
        <v>0</v>
      </c>
      <c r="S129" s="56">
        <v>1.155</v>
      </c>
      <c r="T129" s="19">
        <v>4.71</v>
      </c>
      <c r="U129" s="7">
        <f>E129*T129</f>
        <v>0</v>
      </c>
      <c r="W129" s="119">
        <f t="shared" si="42"/>
        <v>6.5026259999999994</v>
      </c>
      <c r="X129" s="7">
        <f t="shared" si="43"/>
        <v>0</v>
      </c>
      <c r="AC129" s="15">
        <v>8423224835647</v>
      </c>
    </row>
    <row r="130" spans="1:29" ht="15.65" customHeight="1" x14ac:dyDescent="0.25">
      <c r="A130" s="9"/>
      <c r="B130" s="104" t="s">
        <v>126</v>
      </c>
      <c r="C130" s="96" t="s">
        <v>237</v>
      </c>
      <c r="D130" s="9" t="s">
        <v>259</v>
      </c>
      <c r="E130" s="113"/>
      <c r="F130" s="78"/>
      <c r="G130" s="1">
        <v>72</v>
      </c>
      <c r="H130" s="5">
        <f>E130/G130</f>
        <v>0</v>
      </c>
      <c r="I130" s="1">
        <v>0.61</v>
      </c>
      <c r="J130" s="1">
        <v>0.48</v>
      </c>
      <c r="K130" s="1">
        <v>0.28000000000000003</v>
      </c>
      <c r="L130" s="1">
        <v>24</v>
      </c>
      <c r="M130" s="6">
        <f>H130*I130*J130*K130</f>
        <v>0</v>
      </c>
      <c r="N130" s="11">
        <v>1296</v>
      </c>
      <c r="O130" s="6">
        <f>E130/N130</f>
        <v>0</v>
      </c>
      <c r="P130" s="7">
        <f>H130*L130</f>
        <v>0</v>
      </c>
      <c r="Q130" s="56">
        <f t="shared" si="49"/>
        <v>0.98175000000000001</v>
      </c>
      <c r="R130" s="8">
        <f>E130*Q130</f>
        <v>0</v>
      </c>
      <c r="S130" s="56">
        <v>1.155</v>
      </c>
      <c r="T130" s="19">
        <v>4.71</v>
      </c>
      <c r="U130" s="7">
        <f>E130*T130</f>
        <v>0</v>
      </c>
      <c r="W130" s="119">
        <f t="shared" si="42"/>
        <v>6.5026259999999994</v>
      </c>
      <c r="X130" s="7">
        <f t="shared" si="43"/>
        <v>0</v>
      </c>
      <c r="AC130" s="15">
        <v>8423224835654</v>
      </c>
    </row>
    <row r="131" spans="1:29" ht="15.65" customHeight="1" x14ac:dyDescent="0.25">
      <c r="A131" s="9"/>
      <c r="B131" s="104" t="s">
        <v>127</v>
      </c>
      <c r="C131" s="108"/>
      <c r="D131" s="9" t="s">
        <v>118</v>
      </c>
      <c r="E131" s="78"/>
      <c r="F131" s="78"/>
      <c r="G131" s="1">
        <v>72</v>
      </c>
      <c r="H131" s="5">
        <f>E131/G131</f>
        <v>0</v>
      </c>
      <c r="I131" s="1">
        <v>0.61</v>
      </c>
      <c r="J131" s="1">
        <v>0.48</v>
      </c>
      <c r="K131" s="1">
        <v>0.28000000000000003</v>
      </c>
      <c r="L131" s="1">
        <v>24</v>
      </c>
      <c r="M131" s="6">
        <f>H131*I131*J131*K131</f>
        <v>0</v>
      </c>
      <c r="N131" s="11">
        <v>1296</v>
      </c>
      <c r="O131" s="6">
        <f>E131/N131</f>
        <v>0</v>
      </c>
      <c r="P131" s="7">
        <f>H131*L131</f>
        <v>0</v>
      </c>
      <c r="Q131" s="56">
        <f t="shared" si="49"/>
        <v>0.98175000000000001</v>
      </c>
      <c r="R131" s="8">
        <f>E131*Q131</f>
        <v>0</v>
      </c>
      <c r="S131" s="56">
        <v>1.155</v>
      </c>
      <c r="T131" s="19">
        <v>4.71</v>
      </c>
      <c r="U131" s="7">
        <f>E131*T131</f>
        <v>0</v>
      </c>
      <c r="W131" s="119">
        <f t="shared" si="42"/>
        <v>6.5026259999999994</v>
      </c>
      <c r="X131" s="7">
        <f t="shared" si="43"/>
        <v>0</v>
      </c>
      <c r="AC131" s="15">
        <v>8423224835661</v>
      </c>
    </row>
    <row r="132" spans="1:29" ht="15.65" customHeight="1" x14ac:dyDescent="0.25">
      <c r="A132" s="9"/>
      <c r="B132" s="104"/>
      <c r="C132" s="108"/>
      <c r="D132" s="9"/>
      <c r="E132" s="79"/>
      <c r="F132" s="81"/>
      <c r="H132" s="24"/>
      <c r="M132" s="25"/>
      <c r="N132" s="11"/>
      <c r="O132" s="6"/>
      <c r="P132" s="26"/>
      <c r="Q132" s="27"/>
      <c r="R132" s="28"/>
      <c r="S132" s="72"/>
      <c r="U132" s="26"/>
      <c r="AC132" s="15"/>
    </row>
    <row r="133" spans="1:29" ht="15.65" customHeight="1" x14ac:dyDescent="0.25">
      <c r="A133" s="9"/>
      <c r="B133" s="104"/>
      <c r="C133" s="108"/>
      <c r="D133" s="9"/>
      <c r="E133" s="80">
        <f>SUM(E5:E132)</f>
        <v>0</v>
      </c>
      <c r="F133" s="80"/>
      <c r="H133" s="5">
        <f>SUM(H5:H132)</f>
        <v>0</v>
      </c>
      <c r="I133" s="7"/>
      <c r="J133" s="7"/>
      <c r="K133" s="7"/>
      <c r="L133" s="7"/>
      <c r="M133" s="95">
        <f>SUM(M5:M132)</f>
        <v>0</v>
      </c>
      <c r="N133" s="11"/>
      <c r="O133" s="7">
        <f>SUM(O6:O132)</f>
        <v>0</v>
      </c>
      <c r="P133" s="7">
        <f>SUM(P5:P132)</f>
        <v>0</v>
      </c>
      <c r="Q133" s="30"/>
      <c r="R133" s="8">
        <f>SUM(R5:R132)</f>
        <v>0</v>
      </c>
      <c r="S133" s="8"/>
      <c r="U133" s="7">
        <f>SUM(U5:U132)</f>
        <v>0</v>
      </c>
      <c r="X133" s="7">
        <f>SUM(X5:X132)</f>
        <v>0</v>
      </c>
      <c r="AC133" s="15"/>
    </row>
    <row r="134" spans="1:29" ht="15.65" customHeight="1" x14ac:dyDescent="0.25">
      <c r="A134" s="9"/>
      <c r="B134" s="104"/>
      <c r="C134" s="108"/>
      <c r="D134" s="9"/>
      <c r="E134" s="80"/>
      <c r="F134" s="80"/>
      <c r="H134" s="5"/>
      <c r="I134" s="7"/>
      <c r="J134" s="7"/>
      <c r="K134" s="7"/>
      <c r="L134" s="7"/>
      <c r="M134" s="7"/>
      <c r="N134" s="11"/>
      <c r="O134" s="121" t="s">
        <v>331</v>
      </c>
      <c r="P134" s="7"/>
      <c r="Q134" s="129" t="s">
        <v>335</v>
      </c>
      <c r="R134" s="60"/>
      <c r="S134" s="60"/>
      <c r="T134" s="93" t="s">
        <v>325</v>
      </c>
      <c r="U134" s="26">
        <f>U133*0.3806</f>
        <v>0</v>
      </c>
      <c r="V134" s="1" t="s">
        <v>324</v>
      </c>
      <c r="X134" s="1" t="e">
        <f>U137/R135</f>
        <v>#DIV/0!</v>
      </c>
      <c r="AC134" s="15"/>
    </row>
    <row r="135" spans="1:29" ht="15.65" customHeight="1" x14ac:dyDescent="0.25">
      <c r="A135" s="9"/>
      <c r="B135" s="104"/>
      <c r="C135" s="108"/>
      <c r="D135" s="9"/>
      <c r="E135" s="80"/>
      <c r="F135" s="80"/>
      <c r="H135" s="5"/>
      <c r="I135" s="7"/>
      <c r="J135" s="7"/>
      <c r="K135" s="7"/>
      <c r="L135" s="7"/>
      <c r="M135" s="7"/>
      <c r="N135" s="11"/>
      <c r="O135" s="7"/>
      <c r="P135" s="7"/>
      <c r="Q135" s="30"/>
      <c r="R135" s="117">
        <f>SUM(R133:R134)</f>
        <v>0</v>
      </c>
      <c r="S135" s="117"/>
      <c r="U135" s="7">
        <f>U133+U134</f>
        <v>0</v>
      </c>
      <c r="AC135" s="15"/>
    </row>
    <row r="136" spans="1:29" ht="15.65" customHeight="1" x14ac:dyDescent="0.25">
      <c r="B136" s="104"/>
      <c r="C136" s="108"/>
      <c r="D136" s="9"/>
      <c r="E136" s="78"/>
      <c r="F136" s="78"/>
      <c r="H136" s="5"/>
      <c r="M136" s="6"/>
      <c r="N136" s="11"/>
      <c r="O136" s="6"/>
      <c r="P136" s="7"/>
      <c r="Q136" s="30"/>
      <c r="R136" s="8"/>
      <c r="S136" s="8"/>
      <c r="T136" s="129" t="s">
        <v>334</v>
      </c>
      <c r="U136" s="60">
        <f>-U135*0.08</f>
        <v>0</v>
      </c>
      <c r="AC136" s="15"/>
    </row>
    <row r="137" spans="1:29" ht="15.65" customHeight="1" x14ac:dyDescent="0.25">
      <c r="A137" s="9"/>
      <c r="B137" s="104"/>
      <c r="C137" s="108"/>
      <c r="D137" s="9"/>
      <c r="E137" s="78"/>
      <c r="F137" s="78"/>
      <c r="H137" s="5"/>
      <c r="M137" s="6"/>
      <c r="N137" s="11"/>
      <c r="O137" s="6"/>
      <c r="P137" s="7"/>
      <c r="Q137" s="30"/>
      <c r="R137" s="8"/>
      <c r="S137" s="8"/>
      <c r="U137" s="7">
        <f>U135+U136</f>
        <v>0</v>
      </c>
      <c r="AC137" s="15"/>
    </row>
    <row r="138" spans="1:29" ht="15.65" customHeight="1" x14ac:dyDescent="0.25">
      <c r="A138" s="9"/>
      <c r="B138" s="104"/>
      <c r="C138" s="108"/>
      <c r="D138" s="9"/>
      <c r="E138" s="78"/>
      <c r="F138" s="78"/>
      <c r="H138" s="5"/>
      <c r="M138" s="6"/>
      <c r="N138" s="11"/>
      <c r="O138" s="6"/>
      <c r="P138" s="7"/>
      <c r="Q138" s="30"/>
      <c r="R138" s="8"/>
      <c r="S138" s="132"/>
      <c r="T138" s="133"/>
      <c r="U138" s="60"/>
      <c r="AC138" s="15"/>
    </row>
    <row r="139" spans="1:29" ht="15.65" customHeight="1" x14ac:dyDescent="0.25">
      <c r="A139" s="9"/>
      <c r="B139" s="104"/>
      <c r="C139" s="108"/>
      <c r="D139" s="9"/>
      <c r="E139" s="78"/>
      <c r="F139" s="78"/>
      <c r="H139" s="5"/>
      <c r="M139" s="6"/>
      <c r="N139" s="11"/>
      <c r="O139" s="6"/>
      <c r="P139" s="7"/>
      <c r="Q139" s="30"/>
      <c r="R139" s="8"/>
      <c r="S139" s="8"/>
      <c r="U139" s="7">
        <f>SUM(U137:U138)</f>
        <v>0</v>
      </c>
      <c r="W139" s="1" t="e">
        <f>U139/R135</f>
        <v>#DIV/0!</v>
      </c>
      <c r="AC139" s="15"/>
    </row>
    <row r="140" spans="1:29" ht="15.65" customHeight="1" x14ac:dyDescent="0.25">
      <c r="A140" s="142" t="s">
        <v>358</v>
      </c>
      <c r="B140" s="104"/>
      <c r="C140" s="108"/>
      <c r="D140" s="9"/>
      <c r="E140" s="78"/>
      <c r="F140" s="78"/>
      <c r="H140" s="5"/>
      <c r="M140" s="6"/>
      <c r="N140" s="11"/>
      <c r="O140" s="6"/>
      <c r="P140" s="7"/>
      <c r="Q140" s="30"/>
      <c r="R140" s="8"/>
      <c r="S140" s="8"/>
      <c r="U140" s="7"/>
      <c r="AC140" s="15"/>
    </row>
    <row r="141" spans="1:29" ht="15.65" customHeight="1" x14ac:dyDescent="0.25">
      <c r="A141" s="163" t="s">
        <v>354</v>
      </c>
      <c r="B141" s="160" t="s">
        <v>359</v>
      </c>
      <c r="C141" s="9" t="s">
        <v>345</v>
      </c>
      <c r="D141" s="140" t="s">
        <v>346</v>
      </c>
      <c r="E141" s="78"/>
      <c r="F141" s="78"/>
      <c r="G141" s="1">
        <v>44</v>
      </c>
      <c r="H141" s="5">
        <f>E141/G141</f>
        <v>0</v>
      </c>
      <c r="I141" s="95">
        <v>0.435</v>
      </c>
      <c r="J141" s="95">
        <v>0.40200000000000002</v>
      </c>
      <c r="K141" s="95">
        <v>0.23699999999999999</v>
      </c>
      <c r="L141" s="5">
        <v>21</v>
      </c>
      <c r="M141" s="6">
        <f>H141*I141*J141*K141</f>
        <v>0</v>
      </c>
      <c r="N141" s="11">
        <v>1056</v>
      </c>
      <c r="O141" s="6">
        <f>E141/N141</f>
        <v>0</v>
      </c>
      <c r="P141" s="7"/>
      <c r="Q141" s="30">
        <v>0.98</v>
      </c>
      <c r="R141" s="8">
        <f t="shared" ref="R141:R154" si="50">E141*Q141</f>
        <v>0</v>
      </c>
      <c r="S141" s="8"/>
      <c r="T141" s="1">
        <v>6.82</v>
      </c>
      <c r="U141" s="7">
        <f t="shared" ref="U141:U154" si="51">E141*T141</f>
        <v>0</v>
      </c>
      <c r="AC141" s="15"/>
    </row>
    <row r="142" spans="1:29" ht="15.65" customHeight="1" x14ac:dyDescent="0.25">
      <c r="A142" s="163"/>
      <c r="B142" s="160" t="s">
        <v>360</v>
      </c>
      <c r="C142" s="108" t="s">
        <v>347</v>
      </c>
      <c r="D142" s="140" t="s">
        <v>348</v>
      </c>
      <c r="E142" s="78"/>
      <c r="F142" s="78"/>
      <c r="G142" s="1">
        <v>44</v>
      </c>
      <c r="H142" s="5">
        <f t="shared" ref="H142:H150" si="52">E142/G142</f>
        <v>0</v>
      </c>
      <c r="I142" s="95">
        <v>0.435</v>
      </c>
      <c r="J142" s="95">
        <v>0.40200000000000002</v>
      </c>
      <c r="K142" s="95">
        <v>0.23699999999999999</v>
      </c>
      <c r="L142" s="5">
        <v>21</v>
      </c>
      <c r="M142" s="6">
        <f t="shared" ref="M142:M150" si="53">H142*I142*J142*K142</f>
        <v>0</v>
      </c>
      <c r="N142" s="11">
        <v>1056</v>
      </c>
      <c r="O142" s="6">
        <f t="shared" ref="O142:O150" si="54">E142/N142</f>
        <v>0</v>
      </c>
      <c r="P142" s="7"/>
      <c r="Q142" s="30">
        <v>0.98</v>
      </c>
      <c r="R142" s="8">
        <f t="shared" si="50"/>
        <v>0</v>
      </c>
      <c r="S142" s="8"/>
      <c r="T142" s="1">
        <v>6.82</v>
      </c>
      <c r="U142" s="7">
        <f t="shared" si="51"/>
        <v>0</v>
      </c>
      <c r="AC142" s="15"/>
    </row>
    <row r="143" spans="1:29" ht="15.65" customHeight="1" x14ac:dyDescent="0.25">
      <c r="A143" s="163"/>
      <c r="B143" s="160" t="s">
        <v>361</v>
      </c>
      <c r="C143" s="9" t="s">
        <v>378</v>
      </c>
      <c r="D143" s="140" t="s">
        <v>346</v>
      </c>
      <c r="E143" s="78"/>
      <c r="F143" s="78"/>
      <c r="G143" s="1">
        <v>36</v>
      </c>
      <c r="H143" s="5">
        <f t="shared" si="52"/>
        <v>0</v>
      </c>
      <c r="I143" s="95">
        <v>0.79500000000000004</v>
      </c>
      <c r="J143" s="95">
        <v>0.40500000000000003</v>
      </c>
      <c r="K143" s="95">
        <v>0.15</v>
      </c>
      <c r="L143" s="5">
        <v>20</v>
      </c>
      <c r="M143" s="6">
        <f t="shared" si="53"/>
        <v>0</v>
      </c>
      <c r="N143" s="11">
        <v>648</v>
      </c>
      <c r="O143" s="6">
        <f t="shared" si="54"/>
        <v>0</v>
      </c>
      <c r="P143" s="7"/>
      <c r="Q143" s="30">
        <v>1.1200000000000001</v>
      </c>
      <c r="R143" s="8">
        <f t="shared" si="50"/>
        <v>0</v>
      </c>
      <c r="S143" s="8"/>
      <c r="T143" s="7">
        <v>7.8</v>
      </c>
      <c r="U143" s="7">
        <f t="shared" si="51"/>
        <v>0</v>
      </c>
      <c r="AC143" s="15"/>
    </row>
    <row r="144" spans="1:29" ht="15.65" customHeight="1" x14ac:dyDescent="0.25">
      <c r="A144" s="163"/>
      <c r="B144" s="160" t="s">
        <v>362</v>
      </c>
      <c r="C144" s="108" t="s">
        <v>349</v>
      </c>
      <c r="D144" s="140" t="s">
        <v>348</v>
      </c>
      <c r="E144" s="78"/>
      <c r="F144" s="78"/>
      <c r="G144" s="1">
        <v>36</v>
      </c>
      <c r="H144" s="5">
        <f t="shared" si="52"/>
        <v>0</v>
      </c>
      <c r="I144" s="95">
        <v>0.79500000000000004</v>
      </c>
      <c r="J144" s="95">
        <v>0.40500000000000003</v>
      </c>
      <c r="K144" s="95">
        <v>0.15</v>
      </c>
      <c r="L144" s="5">
        <v>20</v>
      </c>
      <c r="M144" s="6">
        <f t="shared" si="53"/>
        <v>0</v>
      </c>
      <c r="N144" s="11">
        <v>648</v>
      </c>
      <c r="O144" s="6">
        <f t="shared" si="54"/>
        <v>0</v>
      </c>
      <c r="P144" s="7"/>
      <c r="Q144" s="30">
        <v>1.1200000000000001</v>
      </c>
      <c r="R144" s="8">
        <f t="shared" si="50"/>
        <v>0</v>
      </c>
      <c r="S144" s="8"/>
      <c r="T144" s="7">
        <v>7.8</v>
      </c>
      <c r="U144" s="7">
        <f t="shared" si="51"/>
        <v>0</v>
      </c>
      <c r="AC144" s="15"/>
    </row>
    <row r="145" spans="1:29" ht="15.65" customHeight="1" x14ac:dyDescent="0.25">
      <c r="A145" s="163"/>
      <c r="B145" s="160" t="s">
        <v>363</v>
      </c>
      <c r="C145" s="9" t="s">
        <v>350</v>
      </c>
      <c r="D145" s="140" t="s">
        <v>346</v>
      </c>
      <c r="E145" s="78"/>
      <c r="F145" s="78"/>
      <c r="G145" s="1">
        <v>33</v>
      </c>
      <c r="H145" s="5">
        <f t="shared" si="52"/>
        <v>0</v>
      </c>
      <c r="I145" s="95">
        <v>0.79500000000000004</v>
      </c>
      <c r="J145" s="95">
        <v>0.39500000000000002</v>
      </c>
      <c r="K145" s="95">
        <v>0.22500000000000001</v>
      </c>
      <c r="L145" s="5">
        <v>24</v>
      </c>
      <c r="M145" s="6">
        <f t="shared" si="53"/>
        <v>0</v>
      </c>
      <c r="N145" s="11">
        <v>396</v>
      </c>
      <c r="O145" s="6">
        <f t="shared" si="54"/>
        <v>0</v>
      </c>
      <c r="P145" s="7"/>
      <c r="Q145" s="30">
        <v>1.35</v>
      </c>
      <c r="R145" s="8">
        <f t="shared" si="50"/>
        <v>0</v>
      </c>
      <c r="S145" s="8"/>
      <c r="T145" s="7">
        <v>9.3800000000000008</v>
      </c>
      <c r="U145" s="7">
        <f t="shared" si="51"/>
        <v>0</v>
      </c>
      <c r="AC145" s="15"/>
    </row>
    <row r="146" spans="1:29" ht="15.65" customHeight="1" x14ac:dyDescent="0.25">
      <c r="A146" s="163"/>
      <c r="B146" s="160" t="s">
        <v>364</v>
      </c>
      <c r="C146" s="108" t="s">
        <v>351</v>
      </c>
      <c r="D146" s="140" t="s">
        <v>348</v>
      </c>
      <c r="E146" s="78"/>
      <c r="F146" s="78"/>
      <c r="G146" s="1">
        <v>33</v>
      </c>
      <c r="H146" s="5">
        <f t="shared" si="52"/>
        <v>0</v>
      </c>
      <c r="I146" s="95">
        <v>0.79500000000000004</v>
      </c>
      <c r="J146" s="95">
        <v>0.39500000000000002</v>
      </c>
      <c r="K146" s="95">
        <v>0.22500000000000001</v>
      </c>
      <c r="L146" s="5">
        <v>24</v>
      </c>
      <c r="M146" s="6">
        <f t="shared" si="53"/>
        <v>0</v>
      </c>
      <c r="N146" s="11">
        <v>396</v>
      </c>
      <c r="O146" s="6">
        <f t="shared" si="54"/>
        <v>0</v>
      </c>
      <c r="P146" s="7"/>
      <c r="Q146" s="30">
        <v>1.35</v>
      </c>
      <c r="R146" s="8">
        <f t="shared" si="50"/>
        <v>0</v>
      </c>
      <c r="S146" s="8"/>
      <c r="T146" s="7">
        <v>9.3800000000000008</v>
      </c>
      <c r="U146" s="7">
        <f t="shared" si="51"/>
        <v>0</v>
      </c>
      <c r="AC146" s="15"/>
    </row>
    <row r="147" spans="1:29" ht="15.65" customHeight="1" x14ac:dyDescent="0.25">
      <c r="A147" s="163"/>
      <c r="B147" s="160" t="s">
        <v>365</v>
      </c>
      <c r="C147" s="9" t="s">
        <v>352</v>
      </c>
      <c r="D147" s="140" t="s">
        <v>346</v>
      </c>
      <c r="E147" s="78"/>
      <c r="F147" s="78"/>
      <c r="G147" s="1">
        <v>20</v>
      </c>
      <c r="H147" s="5">
        <f t="shared" si="52"/>
        <v>0</v>
      </c>
      <c r="I147" s="95">
        <v>0.63</v>
      </c>
      <c r="J147" s="95">
        <v>0.43</v>
      </c>
      <c r="K147" s="95">
        <v>0.185</v>
      </c>
      <c r="L147" s="5">
        <v>16.5</v>
      </c>
      <c r="M147" s="6">
        <f t="shared" si="53"/>
        <v>0</v>
      </c>
      <c r="N147" s="11">
        <v>400</v>
      </c>
      <c r="O147" s="6">
        <f t="shared" si="54"/>
        <v>0</v>
      </c>
      <c r="P147" s="7"/>
      <c r="Q147" s="30">
        <v>1.45</v>
      </c>
      <c r="R147" s="8">
        <f t="shared" si="50"/>
        <v>0</v>
      </c>
      <c r="S147" s="8"/>
      <c r="T147" s="7">
        <v>9.5</v>
      </c>
      <c r="U147" s="7">
        <f t="shared" si="51"/>
        <v>0</v>
      </c>
      <c r="AC147" s="15"/>
    </row>
    <row r="148" spans="1:29" ht="15.65" customHeight="1" x14ac:dyDescent="0.25">
      <c r="A148" s="163"/>
      <c r="B148" s="160" t="s">
        <v>366</v>
      </c>
      <c r="C148" s="108" t="s">
        <v>353</v>
      </c>
      <c r="D148" s="140" t="s">
        <v>348</v>
      </c>
      <c r="E148" s="78"/>
      <c r="F148" s="78"/>
      <c r="G148" s="1">
        <v>20</v>
      </c>
      <c r="H148" s="5">
        <f t="shared" si="52"/>
        <v>0</v>
      </c>
      <c r="I148" s="95">
        <v>0.63</v>
      </c>
      <c r="J148" s="95">
        <v>0.43</v>
      </c>
      <c r="K148" s="95">
        <v>0.185</v>
      </c>
      <c r="L148" s="5">
        <v>16.5</v>
      </c>
      <c r="M148" s="6">
        <f t="shared" si="53"/>
        <v>0</v>
      </c>
      <c r="N148" s="11">
        <v>400</v>
      </c>
      <c r="O148" s="6">
        <f t="shared" si="54"/>
        <v>0</v>
      </c>
      <c r="P148" s="7"/>
      <c r="Q148" s="161">
        <v>1.45</v>
      </c>
      <c r="R148" s="8">
        <f t="shared" si="50"/>
        <v>0</v>
      </c>
      <c r="S148" s="8"/>
      <c r="T148" s="7">
        <v>9.5</v>
      </c>
      <c r="U148" s="7">
        <f t="shared" si="51"/>
        <v>0</v>
      </c>
      <c r="AC148" s="15"/>
    </row>
    <row r="149" spans="1:29" ht="15.65" customHeight="1" x14ac:dyDescent="0.25">
      <c r="A149" s="163" t="s">
        <v>355</v>
      </c>
      <c r="B149" s="160" t="s">
        <v>367</v>
      </c>
      <c r="C149" s="9" t="s">
        <v>379</v>
      </c>
      <c r="D149" s="140" t="s">
        <v>346</v>
      </c>
      <c r="E149" s="78"/>
      <c r="F149" s="78"/>
      <c r="G149" s="1">
        <v>30</v>
      </c>
      <c r="H149" s="5">
        <f t="shared" si="52"/>
        <v>0</v>
      </c>
      <c r="I149" s="95">
        <v>0.82</v>
      </c>
      <c r="J149" s="95">
        <v>0.22700000000000001</v>
      </c>
      <c r="K149" s="95">
        <v>0.35499999999999998</v>
      </c>
      <c r="L149" s="5">
        <v>19</v>
      </c>
      <c r="M149" s="6">
        <f t="shared" si="53"/>
        <v>0</v>
      </c>
      <c r="N149" s="11">
        <v>450</v>
      </c>
      <c r="O149" s="6">
        <f t="shared" si="54"/>
        <v>0</v>
      </c>
      <c r="P149" s="7"/>
      <c r="Q149" s="161">
        <v>1.3</v>
      </c>
      <c r="R149" s="8">
        <f t="shared" si="50"/>
        <v>0</v>
      </c>
      <c r="S149" s="7">
        <v>1.23</v>
      </c>
      <c r="T149" s="7">
        <v>8.8000000000000007</v>
      </c>
      <c r="U149" s="7">
        <f t="shared" si="51"/>
        <v>0</v>
      </c>
      <c r="AC149" s="15"/>
    </row>
    <row r="150" spans="1:29" ht="15.65" customHeight="1" x14ac:dyDescent="0.25">
      <c r="A150" s="163"/>
      <c r="B150" s="160" t="s">
        <v>368</v>
      </c>
      <c r="C150" s="108" t="s">
        <v>356</v>
      </c>
      <c r="D150" s="140" t="s">
        <v>348</v>
      </c>
      <c r="E150" s="78"/>
      <c r="F150" s="78"/>
      <c r="G150" s="1">
        <v>30</v>
      </c>
      <c r="H150" s="5">
        <f t="shared" si="52"/>
        <v>0</v>
      </c>
      <c r="I150" s="95">
        <v>0.82</v>
      </c>
      <c r="J150" s="95">
        <v>0.22700000000000001</v>
      </c>
      <c r="K150" s="95">
        <v>0.35499999999999998</v>
      </c>
      <c r="L150" s="5">
        <v>19</v>
      </c>
      <c r="M150" s="6">
        <f t="shared" si="53"/>
        <v>0</v>
      </c>
      <c r="N150" s="11">
        <v>450</v>
      </c>
      <c r="O150" s="6">
        <f t="shared" si="54"/>
        <v>0</v>
      </c>
      <c r="P150" s="7"/>
      <c r="Q150" s="161">
        <v>1.3</v>
      </c>
      <c r="R150" s="8">
        <f t="shared" si="50"/>
        <v>0</v>
      </c>
      <c r="S150" s="7">
        <v>1.23</v>
      </c>
      <c r="T150" s="7">
        <v>8.8000000000000007</v>
      </c>
      <c r="U150" s="141">
        <f t="shared" si="51"/>
        <v>0</v>
      </c>
      <c r="AC150" s="15"/>
    </row>
    <row r="151" spans="1:29" ht="15.65" customHeight="1" x14ac:dyDescent="0.25">
      <c r="A151" s="163" t="s">
        <v>357</v>
      </c>
      <c r="B151" s="126" t="s">
        <v>369</v>
      </c>
      <c r="C151" s="9"/>
      <c r="D151" s="140" t="s">
        <v>346</v>
      </c>
      <c r="E151" s="78"/>
      <c r="F151" s="78"/>
      <c r="H151" s="5"/>
      <c r="K151" s="6"/>
      <c r="M151" s="6"/>
      <c r="N151" s="11"/>
      <c r="O151" s="6"/>
      <c r="P151" s="7"/>
      <c r="Q151" s="30">
        <v>0.78</v>
      </c>
      <c r="R151" s="8">
        <f t="shared" si="50"/>
        <v>0</v>
      </c>
      <c r="S151" s="8"/>
      <c r="T151" s="7">
        <v>5.45</v>
      </c>
      <c r="U151" s="141">
        <f t="shared" si="51"/>
        <v>0</v>
      </c>
      <c r="AC151" s="15"/>
    </row>
    <row r="152" spans="1:29" ht="15.65" customHeight="1" x14ac:dyDescent="0.25">
      <c r="A152" s="163"/>
      <c r="B152" s="126" t="s">
        <v>370</v>
      </c>
      <c r="C152" s="9"/>
      <c r="D152" s="140" t="s">
        <v>348</v>
      </c>
      <c r="E152" s="78"/>
      <c r="F152" s="78"/>
      <c r="H152" s="5"/>
      <c r="K152" s="6"/>
      <c r="M152" s="6"/>
      <c r="N152" s="11"/>
      <c r="O152" s="6"/>
      <c r="P152" s="7"/>
      <c r="Q152" s="30">
        <v>0.78</v>
      </c>
      <c r="R152" s="8">
        <f t="shared" si="50"/>
        <v>0</v>
      </c>
      <c r="S152" s="8"/>
      <c r="T152" s="7">
        <v>5.45</v>
      </c>
      <c r="U152" s="141">
        <f t="shared" si="51"/>
        <v>0</v>
      </c>
      <c r="AC152" s="15"/>
    </row>
    <row r="153" spans="1:29" ht="15.65" customHeight="1" x14ac:dyDescent="0.25">
      <c r="A153" s="163"/>
      <c r="B153" s="126" t="s">
        <v>371</v>
      </c>
      <c r="C153" s="9"/>
      <c r="D153" s="140" t="s">
        <v>346</v>
      </c>
      <c r="E153" s="78"/>
      <c r="F153" s="78"/>
      <c r="H153" s="5"/>
      <c r="K153" s="6"/>
      <c r="M153" s="6"/>
      <c r="N153" s="11"/>
      <c r="O153" s="6"/>
      <c r="P153" s="7"/>
      <c r="Q153" s="30">
        <v>0.86</v>
      </c>
      <c r="R153" s="8">
        <f t="shared" si="50"/>
        <v>0</v>
      </c>
      <c r="S153" s="8"/>
      <c r="T153" s="7">
        <v>5.97</v>
      </c>
      <c r="U153" s="141">
        <f t="shared" si="51"/>
        <v>0</v>
      </c>
      <c r="AC153" s="15"/>
    </row>
    <row r="154" spans="1:29" ht="15.65" customHeight="1" x14ac:dyDescent="0.25">
      <c r="A154" s="163"/>
      <c r="B154" s="126" t="s">
        <v>372</v>
      </c>
      <c r="C154" s="108"/>
      <c r="D154" s="140" t="s">
        <v>348</v>
      </c>
      <c r="E154" s="78"/>
      <c r="F154" s="78"/>
      <c r="H154" s="5"/>
      <c r="K154" s="6"/>
      <c r="M154" s="6"/>
      <c r="N154" s="11"/>
      <c r="O154" s="6"/>
      <c r="P154" s="7"/>
      <c r="Q154" s="30">
        <v>0.86</v>
      </c>
      <c r="R154" s="28">
        <f t="shared" si="50"/>
        <v>0</v>
      </c>
      <c r="S154" s="8"/>
      <c r="T154" s="7">
        <v>5.97</v>
      </c>
      <c r="U154" s="26">
        <f t="shared" si="51"/>
        <v>0</v>
      </c>
      <c r="AC154" s="15"/>
    </row>
    <row r="155" spans="1:29" ht="15.65" customHeight="1" x14ac:dyDescent="0.25">
      <c r="A155" s="9"/>
      <c r="B155" s="104"/>
      <c r="C155" s="108"/>
      <c r="D155" s="9"/>
      <c r="E155" s="78"/>
      <c r="F155" s="78"/>
      <c r="H155" s="5"/>
      <c r="M155" s="6"/>
      <c r="N155" s="11"/>
      <c r="O155" s="6"/>
      <c r="P155" s="7"/>
      <c r="Q155" s="30"/>
      <c r="R155" s="8">
        <f>SUM(R141:R154)</f>
        <v>0</v>
      </c>
      <c r="S155" s="8"/>
      <c r="U155" s="7">
        <f>SUM(U141:U154)</f>
        <v>0</v>
      </c>
      <c r="W155" s="1" t="e">
        <f>U155/R155</f>
        <v>#DIV/0!</v>
      </c>
      <c r="AC155" s="15"/>
    </row>
    <row r="156" spans="1:29" ht="15.65" customHeight="1" x14ac:dyDescent="0.25">
      <c r="A156" s="9"/>
      <c r="B156" s="104"/>
      <c r="C156" s="108"/>
      <c r="D156" s="9"/>
      <c r="E156" s="79"/>
      <c r="F156" s="81"/>
      <c r="H156" s="24"/>
      <c r="I156" s="31"/>
      <c r="J156" s="31"/>
      <c r="K156" s="31"/>
      <c r="L156" s="31"/>
      <c r="M156" s="25"/>
      <c r="N156" s="11"/>
      <c r="O156" s="25"/>
      <c r="P156" s="26"/>
      <c r="Q156" s="32" t="s">
        <v>128</v>
      </c>
      <c r="R156" s="28"/>
      <c r="S156" s="72"/>
      <c r="U156" s="26"/>
      <c r="AC156" s="15"/>
    </row>
    <row r="157" spans="1:29" ht="15.65" customHeight="1" x14ac:dyDescent="0.25">
      <c r="A157" s="9"/>
      <c r="B157" s="104"/>
      <c r="C157" s="108"/>
      <c r="D157" s="9"/>
      <c r="E157" s="33">
        <f>SUM(E141:E156)</f>
        <v>0</v>
      </c>
      <c r="F157" s="78"/>
      <c r="H157" s="33">
        <f>SUM(H141:H156)</f>
        <v>0</v>
      </c>
      <c r="M157" s="34">
        <f>SUM(M141:M156)</f>
        <v>0</v>
      </c>
      <c r="N157" s="11"/>
      <c r="O157" s="34">
        <f>SUM(O141:O156)</f>
        <v>0</v>
      </c>
      <c r="P157" s="7">
        <f>SUM(P141:P156)</f>
        <v>0</v>
      </c>
      <c r="Q157" s="30"/>
      <c r="R157" s="8">
        <f>SUM(R155:R156)</f>
        <v>0</v>
      </c>
      <c r="S157" s="8"/>
      <c r="U157" s="7">
        <f>SUM(U155:U156)</f>
        <v>0</v>
      </c>
      <c r="AC157" s="15"/>
    </row>
    <row r="158" spans="1:29" ht="15.65" customHeight="1" x14ac:dyDescent="0.25">
      <c r="A158" s="9"/>
      <c r="B158" s="104"/>
      <c r="C158" s="108"/>
      <c r="D158" s="9"/>
      <c r="E158" s="78"/>
      <c r="F158" s="78"/>
      <c r="H158" s="5"/>
      <c r="M158" s="6"/>
      <c r="N158" s="11"/>
      <c r="O158" s="6"/>
      <c r="P158" s="7"/>
      <c r="Q158" s="30"/>
      <c r="R158" s="8"/>
      <c r="S158" s="8"/>
      <c r="U158" s="7"/>
      <c r="AC158" s="15"/>
    </row>
    <row r="159" spans="1:29" ht="15.65" customHeight="1" x14ac:dyDescent="0.25">
      <c r="A159" s="143" t="s">
        <v>374</v>
      </c>
      <c r="B159" s="104" t="s">
        <v>375</v>
      </c>
      <c r="C159" s="108" t="s">
        <v>380</v>
      </c>
      <c r="D159" s="143" t="s">
        <v>376</v>
      </c>
      <c r="E159" s="78"/>
      <c r="F159" s="78"/>
      <c r="H159" s="5"/>
      <c r="M159" s="6"/>
      <c r="N159" s="11"/>
      <c r="O159" s="6"/>
      <c r="P159" s="7"/>
      <c r="Q159" s="30">
        <v>0.27</v>
      </c>
      <c r="R159" s="8">
        <f>E159*Q159</f>
        <v>0</v>
      </c>
      <c r="S159" s="8"/>
      <c r="T159" s="1">
        <v>1.78</v>
      </c>
      <c r="U159" s="141">
        <f>E159*T159</f>
        <v>0</v>
      </c>
      <c r="AC159" s="15"/>
    </row>
    <row r="160" spans="1:29" ht="15.65" customHeight="1" x14ac:dyDescent="0.25">
      <c r="A160" s="9"/>
      <c r="B160" s="145" t="s">
        <v>377</v>
      </c>
      <c r="C160" s="108"/>
      <c r="D160" s="9"/>
      <c r="E160" s="79"/>
      <c r="F160" s="78"/>
      <c r="H160" s="24"/>
      <c r="I160" s="31"/>
      <c r="J160" s="31"/>
      <c r="K160" s="31"/>
      <c r="L160" s="31"/>
      <c r="M160" s="25"/>
      <c r="N160" s="146"/>
      <c r="O160" s="6"/>
      <c r="P160" s="26"/>
      <c r="Q160" s="30"/>
      <c r="R160" s="28"/>
      <c r="S160" s="8"/>
      <c r="U160" s="26"/>
      <c r="AC160" s="15"/>
    </row>
    <row r="161" spans="1:29" ht="15.65" customHeight="1" x14ac:dyDescent="0.25">
      <c r="A161" s="9"/>
      <c r="B161" s="104"/>
      <c r="C161" s="108"/>
      <c r="D161" s="9"/>
      <c r="E161" s="78">
        <f>SUM(E159:E160)</f>
        <v>0</v>
      </c>
      <c r="F161" s="78"/>
      <c r="H161" s="78">
        <f>SUM(H159:H160)</f>
        <v>0</v>
      </c>
      <c r="M161" s="78">
        <f>SUM(M159:M160)</f>
        <v>0</v>
      </c>
      <c r="N161" s="11"/>
      <c r="O161" s="6"/>
      <c r="P161" s="78">
        <f>SUM(P159:P160)</f>
        <v>0</v>
      </c>
      <c r="Q161" s="30"/>
      <c r="R161" s="8">
        <f>SUM(R159:R160)</f>
        <v>0</v>
      </c>
      <c r="S161" s="8"/>
      <c r="U161" s="7">
        <f>SUM(U159:U160)</f>
        <v>0</v>
      </c>
      <c r="AC161" s="15"/>
    </row>
    <row r="162" spans="1:29" ht="15.65" customHeight="1" x14ac:dyDescent="0.25">
      <c r="A162" s="9"/>
      <c r="B162" s="104"/>
      <c r="C162" s="108"/>
      <c r="D162" s="9"/>
      <c r="E162" s="78"/>
      <c r="F162" s="78"/>
      <c r="H162" s="5"/>
      <c r="M162" s="6"/>
      <c r="N162" s="11"/>
      <c r="O162" s="6"/>
      <c r="P162" s="7"/>
      <c r="Q162" s="30"/>
      <c r="R162" s="8"/>
      <c r="S162" s="8"/>
      <c r="U162" s="7"/>
      <c r="AC162" s="15"/>
    </row>
    <row r="163" spans="1:29" ht="15.65" customHeight="1" x14ac:dyDescent="0.25">
      <c r="A163" s="9"/>
      <c r="B163" s="104"/>
      <c r="C163" s="108"/>
      <c r="D163" s="9"/>
      <c r="E163" s="78"/>
      <c r="F163" s="78"/>
      <c r="H163" s="5"/>
      <c r="M163" s="6"/>
      <c r="N163" s="11"/>
      <c r="O163" s="6"/>
      <c r="P163" s="7"/>
      <c r="Q163" s="30"/>
      <c r="R163" s="8"/>
      <c r="S163" s="8"/>
      <c r="U163" s="7"/>
      <c r="AC163" s="15"/>
    </row>
    <row r="164" spans="1:29" ht="15.65" customHeight="1" x14ac:dyDescent="0.25">
      <c r="A164" s="9"/>
      <c r="B164" s="104"/>
      <c r="C164" s="108"/>
      <c r="D164" s="9"/>
      <c r="E164" s="78"/>
      <c r="F164" s="78"/>
      <c r="H164" s="5"/>
      <c r="M164" s="6"/>
      <c r="N164" s="11"/>
      <c r="O164" s="6"/>
      <c r="P164" s="7"/>
      <c r="Q164" s="30"/>
      <c r="R164" s="8"/>
      <c r="S164" s="8"/>
      <c r="U164" s="7"/>
      <c r="AC164" s="15"/>
    </row>
    <row r="165" spans="1:29" s="151" customFormat="1" ht="15.65" customHeight="1" x14ac:dyDescent="0.3">
      <c r="A165" s="144" t="s">
        <v>373</v>
      </c>
      <c r="B165" s="147"/>
      <c r="C165" s="148"/>
      <c r="D165" s="149"/>
      <c r="E165" s="150">
        <f>E133+E157+E161</f>
        <v>0</v>
      </c>
      <c r="F165" s="150"/>
      <c r="H165" s="150">
        <f>H133+H157+H161</f>
        <v>0</v>
      </c>
      <c r="M165" s="152">
        <f>M133+M157+M161</f>
        <v>0</v>
      </c>
      <c r="N165" s="153"/>
      <c r="O165" s="153"/>
      <c r="P165" s="152">
        <f>P133+P157+P161</f>
        <v>0</v>
      </c>
      <c r="Q165" s="154"/>
      <c r="R165" s="152">
        <f>R133+R157+R161</f>
        <v>0</v>
      </c>
      <c r="S165" s="155"/>
      <c r="T165" s="153"/>
      <c r="U165" s="152">
        <f>U133+U157+U161</f>
        <v>0</v>
      </c>
      <c r="AC165" s="156"/>
    </row>
    <row r="166" spans="1:29" ht="15.65" customHeight="1" x14ac:dyDescent="0.25">
      <c r="A166" s="9"/>
      <c r="B166" s="104"/>
      <c r="C166" s="108"/>
      <c r="D166" s="9"/>
      <c r="E166" s="78"/>
      <c r="F166" s="78"/>
      <c r="H166" s="5"/>
      <c r="M166" s="6"/>
      <c r="N166" s="11"/>
      <c r="O166" s="6"/>
      <c r="P166" s="7"/>
      <c r="Q166" s="30"/>
      <c r="R166" s="8"/>
      <c r="S166" s="8"/>
      <c r="U166" s="7"/>
      <c r="AC166" s="15"/>
    </row>
    <row r="167" spans="1:29" ht="15.65" customHeight="1" x14ac:dyDescent="0.25">
      <c r="A167" s="9"/>
      <c r="B167" s="104"/>
      <c r="C167" s="108"/>
      <c r="D167" s="9"/>
      <c r="E167" s="78"/>
      <c r="F167" s="78"/>
      <c r="H167" s="5"/>
      <c r="M167" s="6"/>
      <c r="N167" s="11"/>
      <c r="O167" s="6"/>
      <c r="P167" s="7"/>
      <c r="Q167" s="30"/>
      <c r="R167" s="8"/>
      <c r="S167" s="8"/>
      <c r="U167" s="7"/>
      <c r="AC167" s="15"/>
    </row>
    <row r="168" spans="1:29" ht="15.65" customHeight="1" x14ac:dyDescent="0.25">
      <c r="A168" s="9"/>
      <c r="B168" s="104"/>
      <c r="C168" s="108"/>
      <c r="D168" s="9"/>
      <c r="E168" s="78"/>
      <c r="F168" s="78"/>
      <c r="H168" s="5"/>
      <c r="M168" s="6"/>
      <c r="N168" s="11"/>
      <c r="O168" s="6"/>
      <c r="P168" s="7"/>
      <c r="Q168" s="30"/>
      <c r="R168" s="8"/>
      <c r="S168" s="8"/>
      <c r="U168" s="7"/>
      <c r="AC168" s="15"/>
    </row>
    <row r="169" spans="1:29" ht="15.65" customHeight="1" x14ac:dyDescent="0.25">
      <c r="A169" s="9"/>
      <c r="B169" s="104"/>
      <c r="C169" s="108"/>
      <c r="D169" s="9"/>
      <c r="E169" s="78"/>
      <c r="F169" s="78"/>
      <c r="H169" s="5"/>
      <c r="M169" s="6"/>
      <c r="N169" s="11"/>
      <c r="O169" s="6"/>
      <c r="P169" s="7"/>
      <c r="Q169" s="30"/>
      <c r="R169" s="8"/>
      <c r="S169" s="8"/>
      <c r="U169" s="7"/>
      <c r="AC169" s="15"/>
    </row>
    <row r="170" spans="1:29" ht="15.65" customHeight="1" x14ac:dyDescent="0.25">
      <c r="A170" s="75" t="s">
        <v>304</v>
      </c>
      <c r="B170" s="104"/>
      <c r="C170" s="108"/>
      <c r="D170" s="9"/>
      <c r="E170" s="78"/>
      <c r="F170" s="78"/>
      <c r="H170" s="5"/>
      <c r="M170" s="6"/>
      <c r="N170" s="11"/>
      <c r="O170" s="6"/>
      <c r="P170" s="7"/>
      <c r="Q170" s="44" t="s">
        <v>341</v>
      </c>
      <c r="R170" s="8"/>
      <c r="S170" s="8"/>
      <c r="T170" s="2" t="s">
        <v>337</v>
      </c>
      <c r="U170" s="7"/>
      <c r="AC170" s="15"/>
    </row>
    <row r="171" spans="1:29" ht="15.65" customHeight="1" x14ac:dyDescent="0.25">
      <c r="A171" s="9"/>
      <c r="B171" s="104"/>
      <c r="C171" s="126"/>
      <c r="D171" s="9"/>
      <c r="E171" s="78"/>
      <c r="F171" s="78"/>
      <c r="H171" s="5"/>
      <c r="M171" s="6"/>
      <c r="N171" s="11"/>
      <c r="O171" s="6"/>
      <c r="P171" s="7"/>
      <c r="Q171" s="122"/>
      <c r="R171" s="8"/>
      <c r="S171" s="8"/>
      <c r="T171" s="123"/>
      <c r="U171" s="7"/>
      <c r="AC171" s="15"/>
    </row>
    <row r="172" spans="1:29" s="22" customFormat="1" ht="15.65" customHeight="1" x14ac:dyDescent="0.25">
      <c r="B172" s="105" t="s">
        <v>43</v>
      </c>
      <c r="C172" s="127" t="s">
        <v>216</v>
      </c>
      <c r="D172" s="22" t="s">
        <v>305</v>
      </c>
      <c r="E172" s="78"/>
      <c r="F172" s="78">
        <v>10000</v>
      </c>
      <c r="G172" s="36">
        <v>400</v>
      </c>
      <c r="H172" s="37">
        <f t="shared" ref="H172:H181" si="55">E172/G172</f>
        <v>0</v>
      </c>
      <c r="I172" s="22">
        <v>0.33</v>
      </c>
      <c r="J172" s="22">
        <v>0.31</v>
      </c>
      <c r="K172" s="22">
        <v>0.28000000000000003</v>
      </c>
      <c r="L172" s="22">
        <v>16</v>
      </c>
      <c r="M172" s="43">
        <f>H172*I172*J172*K172</f>
        <v>0</v>
      </c>
      <c r="N172" s="39">
        <v>14400</v>
      </c>
      <c r="O172" s="6">
        <f>E172/N172</f>
        <v>0</v>
      </c>
      <c r="P172" s="65">
        <f t="shared" ref="P172:P180" si="56">H172*L172</f>
        <v>0</v>
      </c>
      <c r="Q172" s="57">
        <v>0.11</v>
      </c>
      <c r="R172" s="132">
        <f t="shared" ref="R172:R181" si="57">E172*Q172</f>
        <v>0</v>
      </c>
      <c r="S172" s="130"/>
      <c r="T172" s="134">
        <v>0.75</v>
      </c>
      <c r="U172" s="40">
        <f t="shared" ref="U172:U181" si="58">E172*T172</f>
        <v>0</v>
      </c>
      <c r="V172" s="42"/>
      <c r="W172" s="119"/>
      <c r="X172" s="40"/>
      <c r="Y172" s="43">
        <f t="shared" ref="Y172:Y181" si="59">T172/(Q172)</f>
        <v>6.8181818181818183</v>
      </c>
      <c r="Z172" s="44"/>
      <c r="AC172" s="45">
        <v>8423224821046</v>
      </c>
    </row>
    <row r="173" spans="1:29" s="22" customFormat="1" ht="15.65" customHeight="1" x14ac:dyDescent="0.25">
      <c r="B173" s="105" t="s">
        <v>44</v>
      </c>
      <c r="C173" s="127" t="s">
        <v>217</v>
      </c>
      <c r="D173" s="22" t="s">
        <v>306</v>
      </c>
      <c r="E173" s="78"/>
      <c r="F173" s="78"/>
      <c r="G173" s="36">
        <v>400</v>
      </c>
      <c r="H173" s="37">
        <f t="shared" si="55"/>
        <v>0</v>
      </c>
      <c r="I173" s="22">
        <v>0.33</v>
      </c>
      <c r="J173" s="22">
        <v>0.31</v>
      </c>
      <c r="K173" s="22">
        <v>0.28000000000000003</v>
      </c>
      <c r="L173" s="22">
        <v>16</v>
      </c>
      <c r="M173" s="43">
        <f t="shared" ref="M173:M180" si="60">H173*I173*J173*K173</f>
        <v>0</v>
      </c>
      <c r="N173" s="39">
        <v>14400</v>
      </c>
      <c r="O173" s="6">
        <f t="shared" ref="O173:O181" si="61">E173/N173</f>
        <v>0</v>
      </c>
      <c r="P173" s="65">
        <f t="shared" si="56"/>
        <v>0</v>
      </c>
      <c r="Q173" s="57">
        <v>0.11</v>
      </c>
      <c r="R173" s="132">
        <f t="shared" si="57"/>
        <v>0</v>
      </c>
      <c r="S173" s="130"/>
      <c r="T173" s="134">
        <v>0.75</v>
      </c>
      <c r="U173" s="40">
        <f t="shared" si="58"/>
        <v>0</v>
      </c>
      <c r="V173" s="46"/>
      <c r="W173" s="119"/>
      <c r="X173" s="40"/>
      <c r="Y173" s="43">
        <f t="shared" si="59"/>
        <v>6.8181818181818183</v>
      </c>
      <c r="Z173" s="44"/>
      <c r="AC173" s="45">
        <v>8423224821053</v>
      </c>
    </row>
    <row r="174" spans="1:29" s="22" customFormat="1" ht="15.65" customHeight="1" x14ac:dyDescent="0.25">
      <c r="B174" s="105" t="s">
        <v>45</v>
      </c>
      <c r="C174" s="127" t="s">
        <v>222</v>
      </c>
      <c r="D174" s="22" t="s">
        <v>307</v>
      </c>
      <c r="E174" s="78"/>
      <c r="F174" s="78">
        <v>4000</v>
      </c>
      <c r="G174" s="36">
        <v>400</v>
      </c>
      <c r="H174" s="37">
        <f t="shared" si="55"/>
        <v>0</v>
      </c>
      <c r="I174" s="22">
        <v>0.43</v>
      </c>
      <c r="J174" s="22">
        <v>0.39</v>
      </c>
      <c r="K174" s="22">
        <v>0.28999999999999998</v>
      </c>
      <c r="L174" s="22">
        <v>24</v>
      </c>
      <c r="M174" s="43">
        <f t="shared" si="60"/>
        <v>0</v>
      </c>
      <c r="N174" s="39">
        <v>6800</v>
      </c>
      <c r="O174" s="6">
        <f t="shared" si="61"/>
        <v>0</v>
      </c>
      <c r="P174" s="65">
        <f t="shared" si="56"/>
        <v>0</v>
      </c>
      <c r="Q174" s="57">
        <v>0.15</v>
      </c>
      <c r="R174" s="132">
        <f t="shared" si="57"/>
        <v>0</v>
      </c>
      <c r="S174" s="130"/>
      <c r="T174" s="134">
        <v>1.02</v>
      </c>
      <c r="U174" s="40">
        <f t="shared" si="58"/>
        <v>0</v>
      </c>
      <c r="V174" s="46"/>
      <c r="W174" s="119"/>
      <c r="X174" s="40"/>
      <c r="Y174" s="43">
        <f t="shared" si="59"/>
        <v>6.8000000000000007</v>
      </c>
      <c r="Z174" s="44"/>
      <c r="AC174" s="45">
        <v>8423224821060</v>
      </c>
    </row>
    <row r="175" spans="1:29" s="22" customFormat="1" ht="15.65" customHeight="1" x14ac:dyDescent="0.25">
      <c r="B175" s="105" t="s">
        <v>46</v>
      </c>
      <c r="C175" s="127" t="s">
        <v>223</v>
      </c>
      <c r="D175" s="22" t="s">
        <v>308</v>
      </c>
      <c r="E175" s="78"/>
      <c r="F175" s="78"/>
      <c r="G175" s="36">
        <v>400</v>
      </c>
      <c r="H175" s="37">
        <f t="shared" si="55"/>
        <v>0</v>
      </c>
      <c r="I175" s="22">
        <v>0.43</v>
      </c>
      <c r="J175" s="22">
        <v>0.39</v>
      </c>
      <c r="K175" s="22">
        <v>0.28999999999999998</v>
      </c>
      <c r="L175" s="22">
        <v>24</v>
      </c>
      <c r="M175" s="43">
        <f t="shared" si="60"/>
        <v>0</v>
      </c>
      <c r="N175" s="39">
        <v>6800</v>
      </c>
      <c r="O175" s="6">
        <f t="shared" si="61"/>
        <v>0</v>
      </c>
      <c r="P175" s="65">
        <f t="shared" si="56"/>
        <v>0</v>
      </c>
      <c r="Q175" s="57">
        <v>0.15</v>
      </c>
      <c r="R175" s="132">
        <f t="shared" si="57"/>
        <v>0</v>
      </c>
      <c r="S175" s="130"/>
      <c r="T175" s="134">
        <v>1.02</v>
      </c>
      <c r="U175" s="40">
        <f t="shared" si="58"/>
        <v>0</v>
      </c>
      <c r="V175" s="47"/>
      <c r="W175" s="119"/>
      <c r="X175" s="40"/>
      <c r="Y175" s="43">
        <f t="shared" si="59"/>
        <v>6.8000000000000007</v>
      </c>
      <c r="Z175" s="44"/>
      <c r="AC175" s="45">
        <v>8423224821077</v>
      </c>
    </row>
    <row r="176" spans="1:29" s="22" customFormat="1" ht="15.65" customHeight="1" x14ac:dyDescent="0.25">
      <c r="B176" s="105" t="s">
        <v>47</v>
      </c>
      <c r="C176" s="127" t="s">
        <v>218</v>
      </c>
      <c r="D176" s="22" t="s">
        <v>309</v>
      </c>
      <c r="E176" s="78"/>
      <c r="F176" s="78">
        <v>9800</v>
      </c>
      <c r="G176" s="36">
        <v>200</v>
      </c>
      <c r="H176" s="37">
        <f t="shared" si="55"/>
        <v>0</v>
      </c>
      <c r="I176" s="22">
        <v>0.49</v>
      </c>
      <c r="J176" s="22">
        <v>0.28999999999999998</v>
      </c>
      <c r="K176" s="22">
        <v>0.31</v>
      </c>
      <c r="L176" s="22">
        <v>19</v>
      </c>
      <c r="M176" s="43">
        <f t="shared" si="60"/>
        <v>0</v>
      </c>
      <c r="N176" s="39">
        <v>3600</v>
      </c>
      <c r="O176" s="6">
        <f t="shared" si="61"/>
        <v>0</v>
      </c>
      <c r="P176" s="65">
        <f t="shared" si="56"/>
        <v>0</v>
      </c>
      <c r="Q176" s="57">
        <v>0.21</v>
      </c>
      <c r="R176" s="132">
        <f t="shared" si="57"/>
        <v>0</v>
      </c>
      <c r="S176" s="130"/>
      <c r="T176" s="134">
        <v>1.42</v>
      </c>
      <c r="U176" s="40">
        <f t="shared" si="58"/>
        <v>0</v>
      </c>
      <c r="V176" s="47"/>
      <c r="W176" s="119"/>
      <c r="X176" s="40"/>
      <c r="Y176" s="43">
        <f t="shared" si="59"/>
        <v>6.7619047619047619</v>
      </c>
      <c r="Z176" s="44"/>
      <c r="AC176" s="45">
        <v>8423224821084</v>
      </c>
    </row>
    <row r="177" spans="1:29" s="22" customFormat="1" ht="15.65" customHeight="1" x14ac:dyDescent="0.25">
      <c r="B177" s="105" t="s">
        <v>48</v>
      </c>
      <c r="C177" s="127" t="s">
        <v>224</v>
      </c>
      <c r="D177" s="22" t="s">
        <v>310</v>
      </c>
      <c r="E177" s="78"/>
      <c r="F177" s="78"/>
      <c r="G177" s="36">
        <v>200</v>
      </c>
      <c r="H177" s="37">
        <f t="shared" si="55"/>
        <v>0</v>
      </c>
      <c r="I177" s="22">
        <v>0.49</v>
      </c>
      <c r="J177" s="22">
        <v>0.28999999999999998</v>
      </c>
      <c r="K177" s="22">
        <v>0.31</v>
      </c>
      <c r="L177" s="22">
        <v>19</v>
      </c>
      <c r="M177" s="43">
        <f t="shared" si="60"/>
        <v>0</v>
      </c>
      <c r="N177" s="39">
        <v>3600</v>
      </c>
      <c r="O177" s="6">
        <f t="shared" si="61"/>
        <v>0</v>
      </c>
      <c r="P177" s="65">
        <f t="shared" si="56"/>
        <v>0</v>
      </c>
      <c r="Q177" s="57">
        <v>0.21</v>
      </c>
      <c r="R177" s="132">
        <f t="shared" si="57"/>
        <v>0</v>
      </c>
      <c r="S177" s="130"/>
      <c r="T177" s="134">
        <v>1.42</v>
      </c>
      <c r="U177" s="40">
        <f t="shared" si="58"/>
        <v>0</v>
      </c>
      <c r="V177" s="46"/>
      <c r="W177" s="119"/>
      <c r="X177" s="40"/>
      <c r="Y177" s="43">
        <f t="shared" si="59"/>
        <v>6.7619047619047619</v>
      </c>
      <c r="Z177" s="44"/>
      <c r="AC177" s="45">
        <v>8423224821091</v>
      </c>
    </row>
    <row r="178" spans="1:29" s="22" customFormat="1" ht="15.65" customHeight="1" x14ac:dyDescent="0.25">
      <c r="B178" s="105" t="s">
        <v>381</v>
      </c>
      <c r="C178" s="127" t="s">
        <v>219</v>
      </c>
      <c r="D178" s="22" t="s">
        <v>311</v>
      </c>
      <c r="E178" s="78"/>
      <c r="F178" s="78">
        <v>14800</v>
      </c>
      <c r="G178" s="36">
        <v>100</v>
      </c>
      <c r="H178" s="37">
        <f t="shared" si="55"/>
        <v>0</v>
      </c>
      <c r="I178" s="22">
        <v>0.48</v>
      </c>
      <c r="J178" s="22">
        <v>0.36</v>
      </c>
      <c r="K178" s="22">
        <v>0.32</v>
      </c>
      <c r="L178" s="22">
        <v>15</v>
      </c>
      <c r="M178" s="43">
        <f t="shared" si="60"/>
        <v>0</v>
      </c>
      <c r="N178" s="39">
        <v>1500</v>
      </c>
      <c r="O178" s="6">
        <f t="shared" si="61"/>
        <v>0</v>
      </c>
      <c r="P178" s="65">
        <f t="shared" si="56"/>
        <v>0</v>
      </c>
      <c r="Q178" s="57">
        <v>0.3</v>
      </c>
      <c r="R178" s="132">
        <f t="shared" si="57"/>
        <v>0</v>
      </c>
      <c r="S178" s="130"/>
      <c r="T178" s="134">
        <v>2.02</v>
      </c>
      <c r="U178" s="40">
        <f t="shared" si="58"/>
        <v>0</v>
      </c>
      <c r="V178" s="47"/>
      <c r="W178" s="119"/>
      <c r="X178" s="40"/>
      <c r="Y178" s="43">
        <f t="shared" si="59"/>
        <v>6.7333333333333334</v>
      </c>
      <c r="Z178" s="44"/>
      <c r="AC178" s="45">
        <v>8423224821107</v>
      </c>
    </row>
    <row r="179" spans="1:29" s="22" customFormat="1" ht="15.65" customHeight="1" x14ac:dyDescent="0.25">
      <c r="B179" s="105" t="s">
        <v>49</v>
      </c>
      <c r="C179" s="127" t="s">
        <v>225</v>
      </c>
      <c r="D179" s="22" t="s">
        <v>312</v>
      </c>
      <c r="E179" s="78"/>
      <c r="F179" s="78"/>
      <c r="G179" s="36">
        <v>100</v>
      </c>
      <c r="H179" s="37">
        <f t="shared" si="55"/>
        <v>0</v>
      </c>
      <c r="I179" s="22">
        <v>0.48</v>
      </c>
      <c r="J179" s="22">
        <v>0.36</v>
      </c>
      <c r="K179" s="22">
        <v>0.32</v>
      </c>
      <c r="L179" s="22">
        <v>15</v>
      </c>
      <c r="M179" s="43">
        <f t="shared" si="60"/>
        <v>0</v>
      </c>
      <c r="N179" s="39">
        <v>1500</v>
      </c>
      <c r="O179" s="6">
        <f t="shared" si="61"/>
        <v>0</v>
      </c>
      <c r="P179" s="65">
        <f t="shared" si="56"/>
        <v>0</v>
      </c>
      <c r="Q179" s="57">
        <v>0.3</v>
      </c>
      <c r="R179" s="8">
        <f t="shared" si="57"/>
        <v>0</v>
      </c>
      <c r="S179" s="130"/>
      <c r="T179" s="134">
        <v>2.02</v>
      </c>
      <c r="U179" s="40">
        <f t="shared" si="58"/>
        <v>0</v>
      </c>
      <c r="V179" s="47"/>
      <c r="W179" s="119"/>
      <c r="X179" s="40"/>
      <c r="Y179" s="43">
        <f t="shared" si="59"/>
        <v>6.7333333333333334</v>
      </c>
      <c r="Z179" s="44"/>
      <c r="AC179" s="45">
        <v>8423224821114</v>
      </c>
    </row>
    <row r="180" spans="1:29" s="22" customFormat="1" ht="15.65" customHeight="1" x14ac:dyDescent="0.25">
      <c r="B180" s="105" t="s">
        <v>50</v>
      </c>
      <c r="C180" s="127" t="s">
        <v>220</v>
      </c>
      <c r="D180" s="22" t="s">
        <v>313</v>
      </c>
      <c r="E180" s="78"/>
      <c r="F180" s="78">
        <v>1500</v>
      </c>
      <c r="G180" s="36">
        <v>100</v>
      </c>
      <c r="H180" s="37">
        <f t="shared" si="55"/>
        <v>0</v>
      </c>
      <c r="I180" s="22">
        <v>0.56999999999999995</v>
      </c>
      <c r="J180" s="22">
        <v>0.42</v>
      </c>
      <c r="K180" s="22">
        <v>0.33</v>
      </c>
      <c r="L180" s="22">
        <v>18</v>
      </c>
      <c r="M180" s="43">
        <f t="shared" si="60"/>
        <v>0</v>
      </c>
      <c r="N180" s="39">
        <v>1200</v>
      </c>
      <c r="O180" s="6">
        <f t="shared" si="61"/>
        <v>0</v>
      </c>
      <c r="P180" s="65">
        <f t="shared" si="56"/>
        <v>0</v>
      </c>
      <c r="Q180" s="57">
        <v>0.41</v>
      </c>
      <c r="R180" s="8">
        <f t="shared" si="57"/>
        <v>0</v>
      </c>
      <c r="S180" s="8"/>
      <c r="T180" s="134">
        <v>2.65</v>
      </c>
      <c r="U180" s="40">
        <f t="shared" si="58"/>
        <v>0</v>
      </c>
      <c r="V180" s="47"/>
      <c r="W180" s="119"/>
      <c r="X180" s="40"/>
      <c r="Y180" s="43">
        <f t="shared" si="59"/>
        <v>6.4634146341463419</v>
      </c>
      <c r="Z180" s="44"/>
      <c r="AC180" s="45">
        <v>8423224821121</v>
      </c>
    </row>
    <row r="181" spans="1:29" s="22" customFormat="1" ht="15.65" customHeight="1" x14ac:dyDescent="0.25">
      <c r="A181" s="96" t="s">
        <v>160</v>
      </c>
      <c r="B181" s="105" t="s">
        <v>51</v>
      </c>
      <c r="C181" s="127" t="s">
        <v>160</v>
      </c>
      <c r="D181" s="22" t="s">
        <v>314</v>
      </c>
      <c r="E181" s="79"/>
      <c r="F181" s="81"/>
      <c r="G181" s="36">
        <v>100</v>
      </c>
      <c r="H181" s="48">
        <f t="shared" si="55"/>
        <v>0</v>
      </c>
      <c r="I181" s="22">
        <v>0.56999999999999995</v>
      </c>
      <c r="J181" s="22">
        <v>0.42</v>
      </c>
      <c r="K181" s="22">
        <v>0.33</v>
      </c>
      <c r="L181" s="22">
        <v>18</v>
      </c>
      <c r="M181" s="86">
        <f>H181*I181*J181*K181</f>
        <v>0</v>
      </c>
      <c r="N181" s="39">
        <v>1200</v>
      </c>
      <c r="O181" s="6">
        <f t="shared" si="61"/>
        <v>0</v>
      </c>
      <c r="P181" s="48">
        <f>H181*L181</f>
        <v>0</v>
      </c>
      <c r="Q181" s="57">
        <v>0.41</v>
      </c>
      <c r="R181" s="28">
        <f t="shared" si="57"/>
        <v>0</v>
      </c>
      <c r="S181" s="72"/>
      <c r="T181" s="134">
        <v>2.65</v>
      </c>
      <c r="U181" s="51">
        <f t="shared" si="58"/>
        <v>0</v>
      </c>
      <c r="V181" s="46"/>
      <c r="W181" s="119"/>
      <c r="X181" s="40"/>
      <c r="Y181" s="43">
        <f t="shared" si="59"/>
        <v>6.4634146341463419</v>
      </c>
      <c r="Z181" s="44"/>
      <c r="AC181" s="45">
        <v>8423224821138</v>
      </c>
    </row>
    <row r="182" spans="1:29" s="22" customFormat="1" ht="15.65" customHeight="1" x14ac:dyDescent="0.25">
      <c r="B182" s="106"/>
      <c r="C182" s="35"/>
      <c r="E182" s="78">
        <f>SUM(E172:E181)</f>
        <v>0</v>
      </c>
      <c r="F182" s="80"/>
      <c r="G182" s="36"/>
      <c r="H182" s="37">
        <f>SUM(H172:H181)</f>
        <v>0</v>
      </c>
      <c r="M182" s="84">
        <f>SUM(M172:M181)</f>
        <v>0</v>
      </c>
      <c r="N182" s="39"/>
      <c r="O182" s="40">
        <f>SUM(O172:O181)</f>
        <v>0</v>
      </c>
      <c r="P182" s="40">
        <f>SUM(P172:P181)</f>
        <v>0</v>
      </c>
      <c r="Q182" s="57"/>
      <c r="R182" s="8">
        <f>SUM(R172:R181)</f>
        <v>0</v>
      </c>
      <c r="S182" s="8"/>
      <c r="T182" s="41"/>
      <c r="U182" s="40">
        <f>SUM(U172:U181)</f>
        <v>0</v>
      </c>
      <c r="V182" s="46"/>
      <c r="W182" s="43" t="e">
        <f>U182/R182</f>
        <v>#DIV/0!</v>
      </c>
      <c r="X182" s="40"/>
      <c r="Z182" s="44"/>
      <c r="AC182" s="45"/>
    </row>
    <row r="183" spans="1:29" s="22" customFormat="1" ht="15.65" customHeight="1" x14ac:dyDescent="0.25">
      <c r="B183" s="106"/>
      <c r="C183" s="35"/>
      <c r="E183" s="78"/>
      <c r="F183" s="78"/>
      <c r="G183" s="36"/>
      <c r="H183" s="37"/>
      <c r="M183" s="62"/>
      <c r="N183" s="39"/>
      <c r="O183" s="121" t="s">
        <v>331</v>
      </c>
      <c r="P183" s="40"/>
      <c r="Q183" s="135" t="s">
        <v>338</v>
      </c>
      <c r="R183" s="28"/>
      <c r="S183" s="28"/>
      <c r="T183" s="139" t="s">
        <v>344</v>
      </c>
      <c r="U183" s="51"/>
      <c r="V183" s="63"/>
      <c r="W183" s="43"/>
      <c r="X183" s="1">
        <v>16592</v>
      </c>
      <c r="Z183" s="44"/>
      <c r="AC183" s="45"/>
    </row>
    <row r="184" spans="1:29" s="22" customFormat="1" ht="15.65" customHeight="1" x14ac:dyDescent="0.25">
      <c r="B184" s="106"/>
      <c r="C184" s="35"/>
      <c r="E184" s="78"/>
      <c r="F184" s="78"/>
      <c r="G184" s="36"/>
      <c r="H184" s="37"/>
      <c r="M184" s="62"/>
      <c r="N184" s="39"/>
      <c r="O184" s="6"/>
      <c r="P184" s="40"/>
      <c r="Q184" s="57"/>
      <c r="R184" s="8">
        <f>SUM(R182:R183)</f>
        <v>0</v>
      </c>
      <c r="S184" s="8"/>
      <c r="T184" s="73"/>
      <c r="U184" s="70">
        <f>SUM(U182:U183)</f>
        <v>0</v>
      </c>
      <c r="V184" s="63"/>
      <c r="W184" s="43"/>
      <c r="X184" s="1"/>
      <c r="Z184" s="44"/>
      <c r="AC184" s="45"/>
    </row>
    <row r="185" spans="1:29" s="22" customFormat="1" ht="15.65" customHeight="1" x14ac:dyDescent="0.25">
      <c r="B185" s="106"/>
      <c r="C185" s="35"/>
      <c r="E185" s="78"/>
      <c r="F185" s="78"/>
      <c r="G185" s="36"/>
      <c r="H185" s="37"/>
      <c r="M185" s="62"/>
      <c r="N185" s="39"/>
      <c r="O185" s="6"/>
      <c r="P185" s="40"/>
      <c r="Q185" s="57"/>
      <c r="R185" s="8"/>
      <c r="S185" s="8"/>
      <c r="T185" s="129"/>
      <c r="U185" s="60"/>
      <c r="V185" s="63"/>
      <c r="W185" s="43"/>
      <c r="X185" s="1"/>
      <c r="Z185" s="44"/>
      <c r="AC185" s="45"/>
    </row>
    <row r="186" spans="1:29" s="22" customFormat="1" ht="15.65" customHeight="1" x14ac:dyDescent="0.25">
      <c r="B186" s="106"/>
      <c r="C186" s="35"/>
      <c r="E186" s="78"/>
      <c r="F186" s="78"/>
      <c r="G186" s="36"/>
      <c r="H186" s="37"/>
      <c r="M186" s="62"/>
      <c r="N186" s="39"/>
      <c r="O186" s="6"/>
      <c r="P186" s="40"/>
      <c r="Q186" s="57"/>
      <c r="R186" s="8"/>
      <c r="S186" s="8"/>
      <c r="T186" s="1"/>
      <c r="U186" s="7">
        <f>U184+U185</f>
        <v>0</v>
      </c>
      <c r="V186" s="46"/>
      <c r="W186" s="43"/>
      <c r="Z186" s="44"/>
      <c r="AC186" s="45"/>
    </row>
    <row r="187" spans="1:29" s="22" customFormat="1" ht="15.65" customHeight="1" x14ac:dyDescent="0.25">
      <c r="B187" s="106"/>
      <c r="C187" s="35"/>
      <c r="E187" s="78"/>
      <c r="F187" s="78"/>
      <c r="G187" s="36"/>
      <c r="H187" s="37"/>
      <c r="M187" s="62"/>
      <c r="N187" s="39"/>
      <c r="O187" s="6"/>
      <c r="P187" s="40"/>
      <c r="Q187" s="57"/>
      <c r="R187" s="8"/>
      <c r="S187" s="8"/>
      <c r="T187" s="41"/>
      <c r="U187" s="40"/>
      <c r="V187" s="46"/>
      <c r="W187" s="43"/>
      <c r="Z187" s="44"/>
      <c r="AC187" s="45"/>
    </row>
    <row r="188" spans="1:29" s="22" customFormat="1" ht="15.65" customHeight="1" x14ac:dyDescent="0.25">
      <c r="A188" s="22" t="s">
        <v>315</v>
      </c>
      <c r="B188" s="105" t="s">
        <v>135</v>
      </c>
      <c r="C188" s="63"/>
      <c r="D188" s="22" t="s">
        <v>316</v>
      </c>
      <c r="E188" s="78"/>
      <c r="F188" s="78"/>
      <c r="G188" s="36">
        <v>10</v>
      </c>
      <c r="H188" s="37">
        <f t="shared" ref="H188:H193" si="62">E188/G188</f>
        <v>0</v>
      </c>
      <c r="I188" s="22">
        <v>0.49</v>
      </c>
      <c r="J188" s="22">
        <v>0.34</v>
      </c>
      <c r="K188" s="22">
        <v>0.28999999999999998</v>
      </c>
      <c r="L188" s="63">
        <v>6</v>
      </c>
      <c r="M188" s="84">
        <f t="shared" ref="M188:M193" si="63">H188*I188*J188*K188</f>
        <v>0</v>
      </c>
      <c r="N188" s="39"/>
      <c r="O188" s="6"/>
      <c r="P188" s="65">
        <f t="shared" ref="P188:P193" si="64">H188*L188</f>
        <v>0</v>
      </c>
      <c r="Q188" s="61">
        <v>1.64</v>
      </c>
      <c r="R188" s="8">
        <f t="shared" ref="R188:R193" si="65">E188*Q188</f>
        <v>0</v>
      </c>
      <c r="S188" s="8"/>
      <c r="T188" s="41">
        <v>10</v>
      </c>
      <c r="U188" s="40">
        <f t="shared" ref="U188:U193" si="66">E188*T188</f>
        <v>0</v>
      </c>
      <c r="V188" s="47"/>
      <c r="W188" s="43"/>
      <c r="Z188" s="44"/>
      <c r="AC188" s="45">
        <v>8423224860151</v>
      </c>
    </row>
    <row r="189" spans="1:29" s="22" customFormat="1" ht="15.65" hidden="1" customHeight="1" x14ac:dyDescent="0.25">
      <c r="B189" s="105" t="s">
        <v>136</v>
      </c>
      <c r="C189" s="63"/>
      <c r="D189" s="22" t="s">
        <v>317</v>
      </c>
      <c r="E189" s="78"/>
      <c r="F189" s="78"/>
      <c r="G189" s="36">
        <v>10</v>
      </c>
      <c r="H189" s="37">
        <f t="shared" si="62"/>
        <v>0</v>
      </c>
      <c r="I189" s="22">
        <v>0.49</v>
      </c>
      <c r="J189" s="22">
        <v>0.34</v>
      </c>
      <c r="K189" s="22">
        <v>0.28999999999999998</v>
      </c>
      <c r="L189" s="63">
        <v>6</v>
      </c>
      <c r="M189" s="84">
        <f t="shared" si="63"/>
        <v>0</v>
      </c>
      <c r="N189" s="39"/>
      <c r="O189" s="6"/>
      <c r="P189" s="65">
        <f t="shared" si="64"/>
        <v>0</v>
      </c>
      <c r="Q189" s="61">
        <v>1.64</v>
      </c>
      <c r="R189" s="8">
        <f t="shared" si="65"/>
        <v>0</v>
      </c>
      <c r="S189" s="8"/>
      <c r="T189" s="41">
        <v>10</v>
      </c>
      <c r="U189" s="40">
        <f t="shared" si="66"/>
        <v>0</v>
      </c>
      <c r="V189" s="47"/>
      <c r="W189" s="43"/>
      <c r="Z189" s="44"/>
      <c r="AC189" s="45">
        <v>8423224860144</v>
      </c>
    </row>
    <row r="190" spans="1:29" s="22" customFormat="1" ht="15.65" hidden="1" customHeight="1" x14ac:dyDescent="0.25">
      <c r="B190" s="105" t="s">
        <v>133</v>
      </c>
      <c r="C190" s="63"/>
      <c r="D190" s="22" t="s">
        <v>318</v>
      </c>
      <c r="E190" s="78"/>
      <c r="F190" s="78"/>
      <c r="G190" s="36">
        <v>10</v>
      </c>
      <c r="H190" s="37">
        <f t="shared" si="62"/>
        <v>0</v>
      </c>
      <c r="I190" s="22">
        <v>0.49</v>
      </c>
      <c r="J190" s="22">
        <v>0.34</v>
      </c>
      <c r="K190" s="22">
        <v>0.28999999999999998</v>
      </c>
      <c r="L190" s="63">
        <v>6</v>
      </c>
      <c r="M190" s="84">
        <f t="shared" si="63"/>
        <v>0</v>
      </c>
      <c r="N190" s="39"/>
      <c r="O190" s="6"/>
      <c r="P190" s="65">
        <f t="shared" si="64"/>
        <v>0</v>
      </c>
      <c r="Q190" s="61">
        <v>2.38</v>
      </c>
      <c r="R190" s="8">
        <f t="shared" si="65"/>
        <v>0</v>
      </c>
      <c r="S190" s="8"/>
      <c r="T190" s="41">
        <v>14.7</v>
      </c>
      <c r="U190" s="40">
        <f t="shared" si="66"/>
        <v>0</v>
      </c>
      <c r="V190" s="47"/>
      <c r="W190" s="43"/>
      <c r="Z190" s="44"/>
      <c r="AC190" s="45">
        <v>8423224860168</v>
      </c>
    </row>
    <row r="191" spans="1:29" s="22" customFormat="1" ht="15.65" hidden="1" customHeight="1" x14ac:dyDescent="0.25">
      <c r="A191" s="22" t="s">
        <v>319</v>
      </c>
      <c r="B191" s="105" t="s">
        <v>137</v>
      </c>
      <c r="C191" s="63"/>
      <c r="D191" s="22" t="s">
        <v>316</v>
      </c>
      <c r="E191" s="81"/>
      <c r="F191" s="81"/>
      <c r="G191" s="64">
        <v>10</v>
      </c>
      <c r="H191" s="65">
        <f t="shared" si="62"/>
        <v>0</v>
      </c>
      <c r="I191" s="66">
        <v>0.49</v>
      </c>
      <c r="J191" s="66">
        <v>0.34</v>
      </c>
      <c r="K191" s="66">
        <v>0.28999999999999998</v>
      </c>
      <c r="L191" s="67">
        <v>18</v>
      </c>
      <c r="M191" s="84">
        <f t="shared" si="63"/>
        <v>0</v>
      </c>
      <c r="N191" s="68"/>
      <c r="O191" s="69"/>
      <c r="P191" s="65">
        <f t="shared" si="64"/>
        <v>0</v>
      </c>
      <c r="Q191" s="71">
        <v>3.68</v>
      </c>
      <c r="R191" s="72">
        <f t="shared" si="65"/>
        <v>0</v>
      </c>
      <c r="S191" s="72"/>
      <c r="T191" s="73">
        <v>23.2</v>
      </c>
      <c r="U191" s="70">
        <f t="shared" si="66"/>
        <v>0</v>
      </c>
      <c r="V191" s="74"/>
      <c r="W191" s="43"/>
      <c r="Z191" s="44"/>
      <c r="AC191" s="45">
        <v>8423224860106</v>
      </c>
    </row>
    <row r="192" spans="1:29" s="22" customFormat="1" ht="15.65" hidden="1" customHeight="1" x14ac:dyDescent="0.25">
      <c r="B192" s="105" t="s">
        <v>138</v>
      </c>
      <c r="C192" s="63"/>
      <c r="D192" s="22" t="s">
        <v>320</v>
      </c>
      <c r="E192" s="81"/>
      <c r="F192" s="81"/>
      <c r="G192" s="64">
        <v>10</v>
      </c>
      <c r="H192" s="65">
        <f t="shared" si="62"/>
        <v>0</v>
      </c>
      <c r="I192" s="66">
        <v>0.49</v>
      </c>
      <c r="J192" s="66">
        <v>0.34</v>
      </c>
      <c r="K192" s="66">
        <v>0.28999999999999998</v>
      </c>
      <c r="L192" s="67">
        <v>18</v>
      </c>
      <c r="M192" s="84">
        <f t="shared" si="63"/>
        <v>0</v>
      </c>
      <c r="N192" s="68"/>
      <c r="O192" s="69"/>
      <c r="P192" s="65">
        <f t="shared" si="64"/>
        <v>0</v>
      </c>
      <c r="Q192" s="71">
        <v>3.68</v>
      </c>
      <c r="R192" s="72">
        <f t="shared" si="65"/>
        <v>0</v>
      </c>
      <c r="S192" s="72"/>
      <c r="T192" s="73">
        <v>23.2</v>
      </c>
      <c r="U192" s="70">
        <f t="shared" si="66"/>
        <v>0</v>
      </c>
      <c r="V192" s="74"/>
      <c r="W192" s="43"/>
      <c r="Z192" s="44"/>
      <c r="AC192" s="45">
        <v>8423224860090</v>
      </c>
    </row>
    <row r="193" spans="1:29" s="22" customFormat="1" ht="15.65" hidden="1" customHeight="1" x14ac:dyDescent="0.25">
      <c r="B193" s="105" t="s">
        <v>134</v>
      </c>
      <c r="C193" s="63"/>
      <c r="D193" s="22" t="s">
        <v>318</v>
      </c>
      <c r="E193" s="79"/>
      <c r="F193" s="81"/>
      <c r="G193" s="36">
        <v>10</v>
      </c>
      <c r="H193" s="48">
        <f t="shared" si="62"/>
        <v>0</v>
      </c>
      <c r="I193" s="22">
        <v>0.49</v>
      </c>
      <c r="J193" s="22">
        <v>0.34</v>
      </c>
      <c r="K193" s="22">
        <v>0.28999999999999998</v>
      </c>
      <c r="L193" s="63">
        <v>18</v>
      </c>
      <c r="M193" s="86">
        <f t="shared" si="63"/>
        <v>0</v>
      </c>
      <c r="N193" s="50"/>
      <c r="O193" s="25"/>
      <c r="P193" s="48">
        <f t="shared" si="64"/>
        <v>0</v>
      </c>
      <c r="Q193" s="61">
        <v>4.5</v>
      </c>
      <c r="R193" s="28">
        <f t="shared" si="65"/>
        <v>0</v>
      </c>
      <c r="S193" s="72"/>
      <c r="T193" s="41">
        <v>28.5</v>
      </c>
      <c r="U193" s="51">
        <f t="shared" si="66"/>
        <v>0</v>
      </c>
      <c r="V193" s="46"/>
      <c r="W193" s="43"/>
      <c r="Z193" s="44"/>
      <c r="AC193" s="45">
        <v>8423224860113</v>
      </c>
    </row>
    <row r="194" spans="1:29" s="22" customFormat="1" ht="15.65" customHeight="1" x14ac:dyDescent="0.25">
      <c r="B194" s="105"/>
      <c r="C194" s="63"/>
      <c r="E194" s="81">
        <f>SUM(E188:E193)</f>
        <v>0</v>
      </c>
      <c r="F194" s="81"/>
      <c r="G194" s="36"/>
      <c r="H194" s="65">
        <f>SUM(H188:H193)</f>
        <v>0</v>
      </c>
      <c r="L194" s="63"/>
      <c r="M194" s="84">
        <f>SUM(M188:M193)</f>
        <v>0</v>
      </c>
      <c r="N194" s="68"/>
      <c r="O194" s="69"/>
      <c r="P194" s="65">
        <f>SUM(P188:P193)</f>
        <v>0</v>
      </c>
      <c r="Q194" s="61"/>
      <c r="R194" s="72">
        <f>SUM(R188:R193)</f>
        <v>0</v>
      </c>
      <c r="S194" s="72"/>
      <c r="T194" s="41"/>
      <c r="U194" s="70">
        <f>SUM(U188:U193)</f>
        <v>0</v>
      </c>
      <c r="V194" s="46"/>
      <c r="W194" s="43"/>
      <c r="Z194" s="44"/>
      <c r="AC194" s="45"/>
    </row>
    <row r="195" spans="1:29" s="22" customFormat="1" ht="15.65" customHeight="1" x14ac:dyDescent="0.25">
      <c r="B195" s="105"/>
      <c r="C195" s="63"/>
      <c r="E195" s="81"/>
      <c r="F195" s="81"/>
      <c r="G195" s="36"/>
      <c r="H195" s="65"/>
      <c r="L195" s="63"/>
      <c r="M195" s="62"/>
      <c r="N195" s="68"/>
      <c r="O195" s="69"/>
      <c r="P195" s="70"/>
      <c r="Q195" s="61"/>
      <c r="R195" s="72"/>
      <c r="S195" s="72"/>
      <c r="T195" s="41"/>
      <c r="U195" s="70"/>
      <c r="V195" s="46"/>
      <c r="W195" s="43"/>
      <c r="Z195" s="44"/>
      <c r="AC195" s="45"/>
    </row>
    <row r="196" spans="1:29" s="22" customFormat="1" ht="15.65" customHeight="1" x14ac:dyDescent="0.25">
      <c r="B196" s="105"/>
      <c r="C196" s="63"/>
      <c r="E196" s="81"/>
      <c r="F196" s="81"/>
      <c r="G196" s="64"/>
      <c r="H196" s="65"/>
      <c r="I196" s="66"/>
      <c r="J196" s="66"/>
      <c r="K196" s="66"/>
      <c r="L196" s="67"/>
      <c r="M196" s="62"/>
      <c r="N196" s="68"/>
      <c r="O196" s="69"/>
      <c r="P196" s="70"/>
      <c r="Q196" s="2" t="s">
        <v>323</v>
      </c>
      <c r="R196" s="72"/>
      <c r="S196" s="72"/>
      <c r="T196" s="138" t="s">
        <v>343</v>
      </c>
      <c r="U196" s="70"/>
      <c r="V196" s="74"/>
      <c r="W196" s="43"/>
      <c r="Z196" s="44"/>
      <c r="AC196" s="45"/>
    </row>
    <row r="197" spans="1:29" s="22" customFormat="1" ht="15.65" customHeight="1" x14ac:dyDescent="0.25">
      <c r="A197" s="100" t="s">
        <v>238</v>
      </c>
      <c r="B197" s="107" t="s">
        <v>139</v>
      </c>
      <c r="D197" s="22" t="s">
        <v>161</v>
      </c>
      <c r="E197" s="78"/>
      <c r="F197" s="78"/>
      <c r="G197" s="36">
        <v>400</v>
      </c>
      <c r="H197" s="37">
        <f t="shared" ref="H197:H212" si="67">E197/G197</f>
        <v>0</v>
      </c>
      <c r="I197" s="22">
        <v>0.49</v>
      </c>
      <c r="J197" s="40">
        <v>0.3</v>
      </c>
      <c r="K197" s="22">
        <v>0.14000000000000001</v>
      </c>
      <c r="L197" s="22">
        <v>12</v>
      </c>
      <c r="M197" s="43">
        <f t="shared" ref="M197:M212" si="68">H197*I197*J197*K197</f>
        <v>0</v>
      </c>
      <c r="N197" s="39"/>
      <c r="O197" s="6"/>
      <c r="P197" s="37">
        <f t="shared" ref="P197:P212" si="69">H197*L197</f>
        <v>0</v>
      </c>
      <c r="Q197" s="97">
        <v>6.5000000000000002E-2</v>
      </c>
      <c r="R197" s="8">
        <f t="shared" ref="R197:R212" si="70">E197*Q197</f>
        <v>0</v>
      </c>
      <c r="S197" s="8"/>
      <c r="T197" s="98">
        <v>0.39</v>
      </c>
      <c r="U197" s="40">
        <f t="shared" ref="U197:U212" si="71">E197*T197</f>
        <v>0</v>
      </c>
      <c r="V197" s="47"/>
      <c r="W197" s="119"/>
      <c r="Z197" s="44"/>
      <c r="AC197" s="45"/>
    </row>
    <row r="198" spans="1:29" s="22" customFormat="1" ht="15.65" customHeight="1" x14ac:dyDescent="0.25">
      <c r="A198" s="100" t="s">
        <v>230</v>
      </c>
      <c r="B198" s="107" t="s">
        <v>162</v>
      </c>
      <c r="D198" s="22" t="s">
        <v>163</v>
      </c>
      <c r="E198" s="78"/>
      <c r="F198" s="78"/>
      <c r="G198" s="36">
        <v>400</v>
      </c>
      <c r="H198" s="37">
        <f>E198/G198</f>
        <v>0</v>
      </c>
      <c r="I198" s="22">
        <v>0.49</v>
      </c>
      <c r="J198" s="40">
        <v>0.3</v>
      </c>
      <c r="K198" s="22">
        <v>0.14000000000000001</v>
      </c>
      <c r="L198" s="22">
        <v>12</v>
      </c>
      <c r="M198" s="43">
        <f t="shared" si="68"/>
        <v>0</v>
      </c>
      <c r="N198" s="39"/>
      <c r="O198" s="6"/>
      <c r="P198" s="37">
        <f t="shared" si="69"/>
        <v>0</v>
      </c>
      <c r="Q198" s="97">
        <v>6.5000000000000002E-2</v>
      </c>
      <c r="R198" s="8">
        <f>E198*Q198</f>
        <v>0</v>
      </c>
      <c r="S198" s="8"/>
      <c r="T198" s="98">
        <v>0.39</v>
      </c>
      <c r="U198" s="40">
        <f t="shared" si="71"/>
        <v>0</v>
      </c>
      <c r="V198" s="47"/>
      <c r="W198" s="119"/>
      <c r="Z198" s="44"/>
      <c r="AC198" s="45"/>
    </row>
    <row r="199" spans="1:29" s="22" customFormat="1" ht="15.65" customHeight="1" x14ac:dyDescent="0.25">
      <c r="A199" s="100" t="s">
        <v>327</v>
      </c>
      <c r="B199" s="107" t="s">
        <v>140</v>
      </c>
      <c r="D199" s="22" t="s">
        <v>164</v>
      </c>
      <c r="E199" s="78"/>
      <c r="F199" s="78"/>
      <c r="G199" s="36">
        <v>400</v>
      </c>
      <c r="H199" s="37">
        <f t="shared" si="67"/>
        <v>0</v>
      </c>
      <c r="I199" s="99">
        <v>0.52</v>
      </c>
      <c r="J199" s="99">
        <v>0.38</v>
      </c>
      <c r="K199" s="99">
        <v>0.17</v>
      </c>
      <c r="L199" s="99">
        <v>14</v>
      </c>
      <c r="M199" s="43">
        <f t="shared" si="68"/>
        <v>0</v>
      </c>
      <c r="N199" s="39"/>
      <c r="O199" s="6"/>
      <c r="P199" s="37">
        <f t="shared" si="69"/>
        <v>0</v>
      </c>
      <c r="Q199" s="97">
        <v>8.6999999999999994E-2</v>
      </c>
      <c r="R199" s="8">
        <f t="shared" si="70"/>
        <v>0</v>
      </c>
      <c r="S199" s="8"/>
      <c r="T199" s="98">
        <v>0.48</v>
      </c>
      <c r="U199" s="40">
        <f t="shared" si="71"/>
        <v>0</v>
      </c>
      <c r="V199" s="47"/>
      <c r="W199" s="119"/>
      <c r="Z199" s="44"/>
      <c r="AC199" s="45"/>
    </row>
    <row r="200" spans="1:29" s="22" customFormat="1" ht="15.65" customHeight="1" x14ac:dyDescent="0.25">
      <c r="A200" s="100" t="s">
        <v>165</v>
      </c>
      <c r="B200" s="107" t="s">
        <v>166</v>
      </c>
      <c r="D200" s="22" t="s">
        <v>167</v>
      </c>
      <c r="E200" s="78"/>
      <c r="F200" s="78"/>
      <c r="G200" s="36">
        <v>400</v>
      </c>
      <c r="H200" s="37">
        <f>E200/G200</f>
        <v>0</v>
      </c>
      <c r="I200" s="99">
        <v>0.52</v>
      </c>
      <c r="J200" s="99">
        <v>0.38</v>
      </c>
      <c r="K200" s="99">
        <v>0.17</v>
      </c>
      <c r="L200" s="99">
        <v>14</v>
      </c>
      <c r="M200" s="43">
        <f t="shared" si="68"/>
        <v>0</v>
      </c>
      <c r="N200" s="39"/>
      <c r="O200" s="6"/>
      <c r="P200" s="37">
        <f t="shared" si="69"/>
        <v>0</v>
      </c>
      <c r="Q200" s="97">
        <v>8.6999999999999994E-2</v>
      </c>
      <c r="R200" s="8">
        <f>E200*Q200</f>
        <v>0</v>
      </c>
      <c r="S200" s="8"/>
      <c r="T200" s="98">
        <v>0.48</v>
      </c>
      <c r="U200" s="40">
        <f t="shared" si="71"/>
        <v>0</v>
      </c>
      <c r="V200" s="47"/>
      <c r="W200" s="119"/>
      <c r="Z200" s="44"/>
      <c r="AC200" s="45"/>
    </row>
    <row r="201" spans="1:29" s="22" customFormat="1" ht="15.65" customHeight="1" x14ac:dyDescent="0.25">
      <c r="A201" s="100" t="s">
        <v>168</v>
      </c>
      <c r="B201" s="107" t="s">
        <v>169</v>
      </c>
      <c r="D201" s="22" t="s">
        <v>170</v>
      </c>
      <c r="E201" s="78"/>
      <c r="F201" s="78"/>
      <c r="G201" s="36">
        <v>400</v>
      </c>
      <c r="H201" s="37">
        <f>E201/G201</f>
        <v>0</v>
      </c>
      <c r="I201" s="99">
        <v>0.54</v>
      </c>
      <c r="J201" s="99">
        <v>0.43</v>
      </c>
      <c r="K201" s="99">
        <v>0.19</v>
      </c>
      <c r="L201" s="101">
        <v>20</v>
      </c>
      <c r="M201" s="43">
        <f t="shared" si="68"/>
        <v>0</v>
      </c>
      <c r="N201" s="39"/>
      <c r="O201" s="6"/>
      <c r="P201" s="37">
        <f t="shared" si="69"/>
        <v>0</v>
      </c>
      <c r="Q201" s="97">
        <v>0.12</v>
      </c>
      <c r="R201" s="8">
        <f>E201*Q201</f>
        <v>0</v>
      </c>
      <c r="S201" s="8"/>
      <c r="T201" s="98">
        <v>0.65</v>
      </c>
      <c r="U201" s="40">
        <f t="shared" si="71"/>
        <v>0</v>
      </c>
      <c r="V201" s="47"/>
      <c r="W201" s="119"/>
      <c r="Z201" s="44"/>
      <c r="AC201" s="45"/>
    </row>
    <row r="202" spans="1:29" s="22" customFormat="1" ht="15.65" customHeight="1" x14ac:dyDescent="0.25">
      <c r="A202" s="100" t="s">
        <v>171</v>
      </c>
      <c r="B202" s="107" t="s">
        <v>172</v>
      </c>
      <c r="D202" s="22" t="s">
        <v>173</v>
      </c>
      <c r="E202" s="78"/>
      <c r="F202" s="78"/>
      <c r="G202" s="36">
        <v>400</v>
      </c>
      <c r="H202" s="37">
        <f>E202/G202</f>
        <v>0</v>
      </c>
      <c r="I202" s="99">
        <v>0.54</v>
      </c>
      <c r="J202" s="99">
        <v>0.43</v>
      </c>
      <c r="K202" s="99">
        <v>0.19</v>
      </c>
      <c r="L202" s="101">
        <v>20</v>
      </c>
      <c r="M202" s="43">
        <f t="shared" si="68"/>
        <v>0</v>
      </c>
      <c r="N202" s="39"/>
      <c r="O202" s="6"/>
      <c r="P202" s="37">
        <f t="shared" si="69"/>
        <v>0</v>
      </c>
      <c r="Q202" s="97">
        <v>0.12</v>
      </c>
      <c r="R202" s="8">
        <f>E202*Q202</f>
        <v>0</v>
      </c>
      <c r="S202" s="8"/>
      <c r="T202" s="98">
        <v>0.65</v>
      </c>
      <c r="U202" s="40">
        <f t="shared" si="71"/>
        <v>0</v>
      </c>
      <c r="V202" s="47"/>
      <c r="W202" s="119"/>
      <c r="Z202" s="44"/>
      <c r="AC202" s="45"/>
    </row>
    <row r="203" spans="1:29" s="22" customFormat="1" ht="15.65" customHeight="1" x14ac:dyDescent="0.25">
      <c r="A203" s="100" t="s">
        <v>174</v>
      </c>
      <c r="B203" s="107" t="s">
        <v>175</v>
      </c>
      <c r="D203" s="22" t="s">
        <v>176</v>
      </c>
      <c r="E203" s="78"/>
      <c r="F203" s="78"/>
      <c r="G203" s="36">
        <v>200</v>
      </c>
      <c r="H203" s="37">
        <f>E203/G203</f>
        <v>0</v>
      </c>
      <c r="I203" s="99">
        <v>0.39</v>
      </c>
      <c r="J203" s="99">
        <v>0.26</v>
      </c>
      <c r="K203" s="99">
        <v>0.25</v>
      </c>
      <c r="L203" s="101">
        <v>11</v>
      </c>
      <c r="M203" s="43">
        <f t="shared" si="68"/>
        <v>0</v>
      </c>
      <c r="N203" s="39"/>
      <c r="O203" s="6"/>
      <c r="P203" s="37">
        <f t="shared" si="69"/>
        <v>0</v>
      </c>
      <c r="Q203" s="97">
        <v>0.152</v>
      </c>
      <c r="R203" s="8">
        <f>E203*Q203</f>
        <v>0</v>
      </c>
      <c r="S203" s="8"/>
      <c r="T203" s="98">
        <v>0.84</v>
      </c>
      <c r="U203" s="40">
        <f t="shared" si="71"/>
        <v>0</v>
      </c>
      <c r="V203" s="47"/>
      <c r="W203" s="119"/>
      <c r="Z203" s="44"/>
      <c r="AC203" s="45"/>
    </row>
    <row r="204" spans="1:29" s="22" customFormat="1" ht="15.65" customHeight="1" x14ac:dyDescent="0.25">
      <c r="A204" s="100" t="s">
        <v>177</v>
      </c>
      <c r="B204" s="107" t="s">
        <v>178</v>
      </c>
      <c r="D204" s="22" t="s">
        <v>179</v>
      </c>
      <c r="E204" s="78"/>
      <c r="F204" s="78"/>
      <c r="G204" s="36">
        <v>200</v>
      </c>
      <c r="H204" s="37">
        <f>E204/G204</f>
        <v>0</v>
      </c>
      <c r="I204" s="99">
        <v>0.39</v>
      </c>
      <c r="J204" s="99">
        <v>0.26</v>
      </c>
      <c r="K204" s="99">
        <v>0.25</v>
      </c>
      <c r="L204" s="101">
        <v>11</v>
      </c>
      <c r="M204" s="43">
        <f t="shared" si="68"/>
        <v>0</v>
      </c>
      <c r="N204" s="39"/>
      <c r="O204" s="6"/>
      <c r="P204" s="37">
        <f t="shared" si="69"/>
        <v>0</v>
      </c>
      <c r="Q204" s="97">
        <v>0.152</v>
      </c>
      <c r="R204" s="8">
        <f>E204*Q204</f>
        <v>0</v>
      </c>
      <c r="S204" s="8"/>
      <c r="T204" s="98">
        <v>0.84</v>
      </c>
      <c r="U204" s="40">
        <f t="shared" si="71"/>
        <v>0</v>
      </c>
      <c r="V204" s="47"/>
      <c r="W204" s="119"/>
      <c r="Z204" s="44"/>
      <c r="AC204" s="45"/>
    </row>
    <row r="205" spans="1:29" s="22" customFormat="1" ht="15.65" customHeight="1" x14ac:dyDescent="0.25">
      <c r="A205" s="100" t="s">
        <v>180</v>
      </c>
      <c r="B205" s="107" t="s">
        <v>141</v>
      </c>
      <c r="D205" s="22" t="s">
        <v>181</v>
      </c>
      <c r="E205" s="78"/>
      <c r="F205" s="78"/>
      <c r="G205" s="36">
        <v>200</v>
      </c>
      <c r="H205" s="37">
        <f t="shared" si="67"/>
        <v>0</v>
      </c>
      <c r="I205" s="22">
        <v>0.45</v>
      </c>
      <c r="J205" s="22">
        <v>0.33</v>
      </c>
      <c r="K205" s="22">
        <v>0.27</v>
      </c>
      <c r="L205" s="22">
        <v>18</v>
      </c>
      <c r="M205" s="43">
        <f t="shared" si="68"/>
        <v>0</v>
      </c>
      <c r="N205" s="39"/>
      <c r="O205" s="6"/>
      <c r="P205" s="37">
        <f t="shared" si="69"/>
        <v>0</v>
      </c>
      <c r="Q205" s="97">
        <v>0.20899999999999999</v>
      </c>
      <c r="R205" s="8">
        <f t="shared" si="70"/>
        <v>0</v>
      </c>
      <c r="S205" s="8"/>
      <c r="T205" s="98"/>
      <c r="U205" s="40">
        <f t="shared" si="71"/>
        <v>0</v>
      </c>
      <c r="V205" s="47"/>
      <c r="W205" s="119"/>
      <c r="Z205" s="44"/>
      <c r="AC205" s="45"/>
    </row>
    <row r="206" spans="1:29" s="22" customFormat="1" ht="15.65" customHeight="1" x14ac:dyDescent="0.25">
      <c r="A206" s="100" t="s">
        <v>182</v>
      </c>
      <c r="B206" s="107" t="s">
        <v>142</v>
      </c>
      <c r="D206" s="22" t="s">
        <v>183</v>
      </c>
      <c r="E206" s="78"/>
      <c r="F206" s="78"/>
      <c r="G206" s="36">
        <v>200</v>
      </c>
      <c r="H206" s="37">
        <f t="shared" si="67"/>
        <v>0</v>
      </c>
      <c r="I206" s="22">
        <v>0.45</v>
      </c>
      <c r="J206" s="22">
        <v>0.33</v>
      </c>
      <c r="K206" s="22">
        <v>0.27</v>
      </c>
      <c r="L206" s="22">
        <v>18</v>
      </c>
      <c r="M206" s="43">
        <f t="shared" si="68"/>
        <v>0</v>
      </c>
      <c r="N206" s="39"/>
      <c r="O206" s="6"/>
      <c r="P206" s="37">
        <f t="shared" si="69"/>
        <v>0</v>
      </c>
      <c r="Q206" s="97">
        <v>0.20899999999999999</v>
      </c>
      <c r="R206" s="8">
        <f t="shared" si="70"/>
        <v>0</v>
      </c>
      <c r="S206" s="8"/>
      <c r="T206" s="98"/>
      <c r="U206" s="40">
        <f t="shared" si="71"/>
        <v>0</v>
      </c>
      <c r="V206" s="47"/>
      <c r="W206" s="119"/>
      <c r="Z206" s="44"/>
      <c r="AC206" s="45"/>
    </row>
    <row r="207" spans="1:29" s="22" customFormat="1" ht="15.65" customHeight="1" x14ac:dyDescent="0.25">
      <c r="A207" s="100" t="s">
        <v>184</v>
      </c>
      <c r="B207" s="107" t="s">
        <v>185</v>
      </c>
      <c r="D207" s="22" t="s">
        <v>186</v>
      </c>
      <c r="E207" s="78"/>
      <c r="F207" s="78"/>
      <c r="G207" s="36">
        <v>200</v>
      </c>
      <c r="H207" s="37">
        <f t="shared" si="67"/>
        <v>0</v>
      </c>
      <c r="I207" s="99">
        <v>0.52</v>
      </c>
      <c r="J207" s="99">
        <v>0.31</v>
      </c>
      <c r="K207" s="99">
        <v>0.26</v>
      </c>
      <c r="L207" s="102">
        <v>17</v>
      </c>
      <c r="M207" s="43">
        <f t="shared" si="68"/>
        <v>0</v>
      </c>
      <c r="N207" s="39"/>
      <c r="O207" s="6"/>
      <c r="P207" s="37">
        <f t="shared" si="69"/>
        <v>0</v>
      </c>
      <c r="Q207" s="97">
        <v>0.218</v>
      </c>
      <c r="R207" s="8">
        <f t="shared" si="70"/>
        <v>0</v>
      </c>
      <c r="S207" s="8"/>
      <c r="T207" s="98">
        <v>1.28</v>
      </c>
      <c r="U207" s="40">
        <f t="shared" si="71"/>
        <v>0</v>
      </c>
      <c r="V207" s="47"/>
      <c r="W207" s="119"/>
      <c r="Z207" s="44"/>
      <c r="AC207" s="45"/>
    </row>
    <row r="208" spans="1:29" s="22" customFormat="1" ht="15.65" customHeight="1" x14ac:dyDescent="0.25">
      <c r="A208" s="100" t="s">
        <v>187</v>
      </c>
      <c r="B208" s="107" t="s">
        <v>143</v>
      </c>
      <c r="D208" s="22" t="s">
        <v>188</v>
      </c>
      <c r="E208" s="78"/>
      <c r="F208" s="78"/>
      <c r="G208" s="36">
        <v>200</v>
      </c>
      <c r="H208" s="37">
        <f t="shared" si="67"/>
        <v>0</v>
      </c>
      <c r="I208" s="99">
        <v>0.52</v>
      </c>
      <c r="J208" s="99">
        <v>0.31</v>
      </c>
      <c r="K208" s="99">
        <v>0.26</v>
      </c>
      <c r="L208" s="102">
        <v>17</v>
      </c>
      <c r="M208" s="43">
        <f t="shared" si="68"/>
        <v>0</v>
      </c>
      <c r="N208" s="39"/>
      <c r="O208" s="6"/>
      <c r="P208" s="37">
        <f t="shared" si="69"/>
        <v>0</v>
      </c>
      <c r="Q208" s="97">
        <v>0.218</v>
      </c>
      <c r="R208" s="8">
        <f t="shared" si="70"/>
        <v>0</v>
      </c>
      <c r="S208" s="8"/>
      <c r="T208" s="98">
        <v>1.28</v>
      </c>
      <c r="U208" s="40">
        <f t="shared" si="71"/>
        <v>0</v>
      </c>
      <c r="V208" s="47"/>
      <c r="W208" s="119"/>
      <c r="Z208" s="44"/>
      <c r="AC208" s="45"/>
    </row>
    <row r="209" spans="1:29" s="22" customFormat="1" ht="15.65" customHeight="1" x14ac:dyDescent="0.25">
      <c r="A209" s="100" t="s">
        <v>189</v>
      </c>
      <c r="B209" s="107" t="s">
        <v>190</v>
      </c>
      <c r="D209" s="22" t="s">
        <v>191</v>
      </c>
      <c r="E209" s="78"/>
      <c r="F209" s="78"/>
      <c r="G209" s="36">
        <v>100</v>
      </c>
      <c r="H209" s="37">
        <f t="shared" si="67"/>
        <v>0</v>
      </c>
      <c r="I209" s="99">
        <v>0.35</v>
      </c>
      <c r="J209" s="99">
        <v>0.28000000000000003</v>
      </c>
      <c r="K209" s="99">
        <v>0.31</v>
      </c>
      <c r="L209" s="103">
        <v>15</v>
      </c>
      <c r="M209" s="43">
        <f t="shared" si="68"/>
        <v>0</v>
      </c>
      <c r="N209" s="39"/>
      <c r="O209" s="6"/>
      <c r="P209" s="37">
        <f t="shared" si="69"/>
        <v>0</v>
      </c>
      <c r="Q209" s="97">
        <v>0.32700000000000001</v>
      </c>
      <c r="R209" s="8">
        <f t="shared" si="70"/>
        <v>0</v>
      </c>
      <c r="S209" s="8"/>
      <c r="T209" s="98">
        <v>1.9</v>
      </c>
      <c r="U209" s="40">
        <f t="shared" si="71"/>
        <v>0</v>
      </c>
      <c r="V209" s="47"/>
      <c r="W209" s="119"/>
      <c r="Z209" s="44"/>
      <c r="AC209" s="45"/>
    </row>
    <row r="210" spans="1:29" s="22" customFormat="1" ht="15.65" customHeight="1" x14ac:dyDescent="0.25">
      <c r="A210" s="100" t="s">
        <v>192</v>
      </c>
      <c r="B210" s="107" t="s">
        <v>193</v>
      </c>
      <c r="D210" s="22" t="s">
        <v>194</v>
      </c>
      <c r="E210" s="78"/>
      <c r="F210" s="78"/>
      <c r="G210" s="36">
        <v>100</v>
      </c>
      <c r="H210" s="37">
        <f t="shared" si="67"/>
        <v>0</v>
      </c>
      <c r="I210" s="99">
        <v>0.35</v>
      </c>
      <c r="J210" s="99">
        <v>0.28000000000000003</v>
      </c>
      <c r="K210" s="99">
        <v>0.31</v>
      </c>
      <c r="L210" s="103">
        <v>15</v>
      </c>
      <c r="M210" s="43">
        <f t="shared" si="68"/>
        <v>0</v>
      </c>
      <c r="N210" s="39"/>
      <c r="O210" s="6"/>
      <c r="P210" s="37">
        <f t="shared" si="69"/>
        <v>0</v>
      </c>
      <c r="Q210" s="97">
        <v>0.32700000000000001</v>
      </c>
      <c r="R210" s="8">
        <f t="shared" si="70"/>
        <v>0</v>
      </c>
      <c r="S210" s="8"/>
      <c r="T210" s="98">
        <v>1.9</v>
      </c>
      <c r="U210" s="40">
        <f t="shared" si="71"/>
        <v>0</v>
      </c>
      <c r="V210" s="47"/>
      <c r="W210" s="119"/>
      <c r="Z210" s="44"/>
      <c r="AC210" s="45"/>
    </row>
    <row r="211" spans="1:29" s="22" customFormat="1" ht="15.65" customHeight="1" x14ac:dyDescent="0.25">
      <c r="A211" s="100" t="s">
        <v>195</v>
      </c>
      <c r="B211" s="107" t="s">
        <v>196</v>
      </c>
      <c r="D211" s="22" t="s">
        <v>197</v>
      </c>
      <c r="E211" s="78"/>
      <c r="F211" s="78"/>
      <c r="G211" s="36">
        <v>100</v>
      </c>
      <c r="H211" s="37">
        <f t="shared" si="67"/>
        <v>0</v>
      </c>
      <c r="I211" s="99">
        <v>0.42</v>
      </c>
      <c r="J211" s="99">
        <v>0.28999999999999998</v>
      </c>
      <c r="K211" s="99">
        <v>0.37</v>
      </c>
      <c r="L211" s="103">
        <v>18</v>
      </c>
      <c r="M211" s="43">
        <f t="shared" si="68"/>
        <v>0</v>
      </c>
      <c r="N211" s="39"/>
      <c r="O211" s="6"/>
      <c r="P211" s="37">
        <f t="shared" si="69"/>
        <v>0</v>
      </c>
      <c r="Q211" s="97">
        <v>0.39700000000000002</v>
      </c>
      <c r="R211" s="8">
        <f t="shared" si="70"/>
        <v>0</v>
      </c>
      <c r="S211" s="8"/>
      <c r="T211" s="98">
        <v>2.16</v>
      </c>
      <c r="U211" s="40">
        <f t="shared" si="71"/>
        <v>0</v>
      </c>
      <c r="V211" s="47"/>
      <c r="W211" s="119"/>
      <c r="Z211" s="44"/>
      <c r="AC211" s="45"/>
    </row>
    <row r="212" spans="1:29" s="22" customFormat="1" ht="15.65" customHeight="1" x14ac:dyDescent="0.25">
      <c r="A212" s="100" t="s">
        <v>198</v>
      </c>
      <c r="B212" s="107" t="s">
        <v>199</v>
      </c>
      <c r="D212" s="22" t="s">
        <v>200</v>
      </c>
      <c r="E212" s="79"/>
      <c r="F212" s="78"/>
      <c r="G212" s="36">
        <v>100</v>
      </c>
      <c r="H212" s="48">
        <f t="shared" si="67"/>
        <v>0</v>
      </c>
      <c r="I212" s="99">
        <v>0.42</v>
      </c>
      <c r="J212" s="99">
        <v>0.28999999999999998</v>
      </c>
      <c r="K212" s="99">
        <v>0.37</v>
      </c>
      <c r="L212" s="103">
        <v>18</v>
      </c>
      <c r="M212" s="43">
        <f t="shared" si="68"/>
        <v>0</v>
      </c>
      <c r="N212" s="39"/>
      <c r="O212" s="6"/>
      <c r="P212" s="37">
        <f t="shared" si="69"/>
        <v>0</v>
      </c>
      <c r="Q212" s="97">
        <v>0.39700000000000002</v>
      </c>
      <c r="R212" s="28">
        <f t="shared" si="70"/>
        <v>0</v>
      </c>
      <c r="S212" s="72"/>
      <c r="T212" s="98">
        <v>2.16</v>
      </c>
      <c r="U212" s="51">
        <f t="shared" si="71"/>
        <v>0</v>
      </c>
      <c r="V212" s="47"/>
      <c r="W212" s="119"/>
      <c r="Z212" s="44"/>
      <c r="AC212" s="45"/>
    </row>
    <row r="213" spans="1:29" s="22" customFormat="1" ht="15.65" customHeight="1" x14ac:dyDescent="0.25">
      <c r="B213" s="105"/>
      <c r="C213" s="63"/>
      <c r="E213" s="81">
        <f>SUM(E197:E212)</f>
        <v>0</v>
      </c>
      <c r="F213" s="81"/>
      <c r="G213" s="64"/>
      <c r="H213" s="65">
        <f>SUM(H197:H212)</f>
        <v>0</v>
      </c>
      <c r="I213" s="66"/>
      <c r="J213" s="66"/>
      <c r="K213" s="66"/>
      <c r="L213" s="67"/>
      <c r="M213" s="84">
        <f>SUM(M197:M212)</f>
        <v>0</v>
      </c>
      <c r="N213" s="68"/>
      <c r="O213" s="69"/>
      <c r="P213" s="65">
        <f>SUM(P197:P212)</f>
        <v>0</v>
      </c>
      <c r="Q213" s="85"/>
      <c r="R213" s="8">
        <f>SUM(R197:R212)</f>
        <v>0</v>
      </c>
      <c r="S213" s="8"/>
      <c r="U213" s="40">
        <f>SUM(U197:U212)</f>
        <v>0</v>
      </c>
      <c r="V213" s="62" t="e">
        <f>U213/R213</f>
        <v>#DIV/0!</v>
      </c>
      <c r="W213" s="43"/>
      <c r="Z213" s="44"/>
      <c r="AC213" s="45"/>
    </row>
    <row r="214" spans="1:29" s="22" customFormat="1" ht="15.65" customHeight="1" x14ac:dyDescent="0.25">
      <c r="B214" s="105"/>
      <c r="C214" s="63"/>
      <c r="E214" s="81"/>
      <c r="F214" s="81"/>
      <c r="G214" s="64"/>
      <c r="H214" s="65"/>
      <c r="I214" s="66"/>
      <c r="J214" s="66"/>
      <c r="K214" s="66"/>
      <c r="L214" s="67"/>
      <c r="M214" s="84"/>
      <c r="N214" s="68"/>
      <c r="O214" s="69"/>
      <c r="P214" s="70"/>
      <c r="Q214" s="85"/>
      <c r="R214" s="28"/>
      <c r="S214" s="28"/>
      <c r="T214" s="114"/>
      <c r="U214" s="51"/>
      <c r="V214" s="63"/>
      <c r="W214" s="43"/>
      <c r="X214" s="1"/>
      <c r="Z214" s="44"/>
      <c r="AC214" s="45"/>
    </row>
    <row r="215" spans="1:29" s="22" customFormat="1" ht="15.65" customHeight="1" x14ac:dyDescent="0.25">
      <c r="B215" s="105"/>
      <c r="C215" s="63"/>
      <c r="E215" s="81"/>
      <c r="F215" s="81"/>
      <c r="G215" s="64"/>
      <c r="H215" s="65"/>
      <c r="I215" s="66"/>
      <c r="J215" s="66"/>
      <c r="K215" s="66"/>
      <c r="L215" s="67"/>
      <c r="M215" s="84"/>
      <c r="N215" s="68"/>
      <c r="O215" s="69"/>
      <c r="P215" s="70"/>
      <c r="Q215" s="85"/>
      <c r="R215" s="8">
        <f>SUM(R213:R214)</f>
        <v>0</v>
      </c>
      <c r="S215" s="8"/>
      <c r="T215" s="73"/>
      <c r="U215" s="70">
        <f>SUM(U213)</f>
        <v>0</v>
      </c>
      <c r="V215" s="63"/>
      <c r="W215" s="43"/>
      <c r="X215" s="1"/>
      <c r="Z215" s="44"/>
      <c r="AC215" s="45"/>
    </row>
    <row r="216" spans="1:29" s="22" customFormat="1" ht="15.65" customHeight="1" x14ac:dyDescent="0.25">
      <c r="B216" s="105"/>
      <c r="C216" s="63"/>
      <c r="E216" s="81"/>
      <c r="F216" s="81"/>
      <c r="G216" s="64"/>
      <c r="H216" s="65"/>
      <c r="I216" s="66"/>
      <c r="J216" s="66"/>
      <c r="K216" s="66"/>
      <c r="L216" s="67"/>
      <c r="M216" s="84"/>
      <c r="N216" s="68"/>
      <c r="O216" s="69"/>
      <c r="P216" s="70"/>
      <c r="Q216" s="85"/>
      <c r="R216" s="8"/>
      <c r="S216" s="8"/>
      <c r="T216" s="73"/>
      <c r="U216" s="70"/>
      <c r="V216" s="63"/>
      <c r="W216" s="43"/>
      <c r="X216" s="1"/>
      <c r="Z216" s="44"/>
      <c r="AC216" s="45"/>
    </row>
    <row r="217" spans="1:29" s="22" customFormat="1" ht="15.65" customHeight="1" x14ac:dyDescent="0.25">
      <c r="B217" s="105"/>
      <c r="C217" s="63"/>
      <c r="E217" s="79"/>
      <c r="F217" s="81"/>
      <c r="G217" s="36"/>
      <c r="H217" s="48"/>
      <c r="L217" s="63"/>
      <c r="M217" s="49"/>
      <c r="N217" s="50"/>
      <c r="O217" s="25"/>
      <c r="P217" s="51"/>
      <c r="Q217" s="61"/>
      <c r="R217" s="28"/>
      <c r="S217" s="72"/>
      <c r="T217" s="73"/>
      <c r="U217" s="70"/>
      <c r="V217" s="46"/>
      <c r="W217" s="43"/>
      <c r="Z217" s="44"/>
      <c r="AC217" s="45"/>
    </row>
    <row r="218" spans="1:29" s="22" customFormat="1" ht="15.65" customHeight="1" x14ac:dyDescent="0.25">
      <c r="B218" s="106" t="s">
        <v>321</v>
      </c>
      <c r="C218" s="35"/>
      <c r="E218" s="87">
        <f>E182+E194+E213</f>
        <v>0</v>
      </c>
      <c r="F218" s="87"/>
      <c r="G218" s="39"/>
      <c r="H218" s="109">
        <f>H182+H194+H213</f>
        <v>0</v>
      </c>
      <c r="I218" s="88"/>
      <c r="J218" s="88"/>
      <c r="K218" s="88"/>
      <c r="L218" s="59"/>
      <c r="M218" s="89">
        <f>M182+M194+M213</f>
        <v>0</v>
      </c>
      <c r="N218" s="39"/>
      <c r="O218" s="90">
        <f>O182+O194+O213</f>
        <v>0</v>
      </c>
      <c r="P218" s="90">
        <f>P182+P194+P213</f>
        <v>0</v>
      </c>
      <c r="Q218" s="91"/>
      <c r="R218" s="94">
        <f>R184+R194+R215</f>
        <v>0</v>
      </c>
      <c r="S218" s="94"/>
      <c r="T218" s="92"/>
      <c r="U218" s="112">
        <f>U186+U194+U215</f>
        <v>0</v>
      </c>
      <c r="V218" s="62"/>
      <c r="Z218" s="44"/>
      <c r="AC218" s="45"/>
    </row>
    <row r="219" spans="1:29" s="22" customFormat="1" ht="15.65" customHeight="1" x14ac:dyDescent="0.25">
      <c r="B219" s="106"/>
      <c r="C219" s="35"/>
      <c r="E219" s="82"/>
      <c r="F219" s="82"/>
      <c r="G219" s="36"/>
      <c r="H219" s="40"/>
      <c r="M219" s="38"/>
      <c r="N219" s="39"/>
      <c r="O219" s="38"/>
      <c r="P219" s="40"/>
      <c r="Q219" s="52"/>
      <c r="R219" s="8"/>
      <c r="S219" s="8"/>
      <c r="T219" s="41"/>
      <c r="U219" s="40"/>
      <c r="V219" s="46"/>
      <c r="Z219" s="44"/>
      <c r="AC219" s="45"/>
    </row>
    <row r="220" spans="1:29" s="22" customFormat="1" ht="15.65" customHeight="1" x14ac:dyDescent="0.25">
      <c r="B220" s="106"/>
      <c r="C220" s="35"/>
      <c r="E220" s="82"/>
      <c r="F220" s="82"/>
      <c r="G220" s="36"/>
      <c r="H220" s="40"/>
      <c r="M220" s="38"/>
      <c r="N220" s="39"/>
      <c r="O220" s="38"/>
      <c r="P220" s="40"/>
      <c r="Q220" s="52"/>
      <c r="R220" s="8"/>
      <c r="S220" s="8"/>
      <c r="T220" s="41"/>
      <c r="U220" s="40"/>
      <c r="V220" s="46"/>
      <c r="Z220" s="44"/>
      <c r="AC220" s="45"/>
    </row>
    <row r="221" spans="1:29" s="22" customFormat="1" ht="15.65" customHeight="1" x14ac:dyDescent="0.25">
      <c r="B221" s="106"/>
      <c r="C221" s="35"/>
      <c r="E221" s="82"/>
      <c r="F221" s="82"/>
      <c r="G221" s="36"/>
      <c r="H221" s="40"/>
      <c r="M221" s="38"/>
      <c r="N221" s="39"/>
      <c r="O221" s="38"/>
      <c r="P221" s="40"/>
      <c r="Q221" s="53"/>
      <c r="R221" s="8"/>
      <c r="S221" s="8"/>
      <c r="T221" s="41"/>
      <c r="U221" s="40"/>
      <c r="V221" s="46"/>
      <c r="W221" s="22" t="e">
        <f>U221/R218</f>
        <v>#DIV/0!</v>
      </c>
      <c r="Z221" s="44"/>
      <c r="AC221" s="45"/>
    </row>
    <row r="222" spans="1:29" ht="15.65" customHeight="1" x14ac:dyDescent="0.25">
      <c r="E222" s="83"/>
      <c r="F222" s="83"/>
      <c r="H222" s="7"/>
      <c r="R222" s="8"/>
      <c r="S222" s="8"/>
      <c r="U222" s="7"/>
    </row>
    <row r="223" spans="1:29" ht="15.65" customHeight="1" x14ac:dyDescent="0.25">
      <c r="E223" s="80">
        <f>E165+E218</f>
        <v>0</v>
      </c>
      <c r="F223" s="80"/>
      <c r="G223" s="29"/>
      <c r="H223" s="157">
        <f>H165+H218</f>
        <v>0</v>
      </c>
      <c r="M223" s="157">
        <f>M165+M218</f>
        <v>0</v>
      </c>
      <c r="N223" s="7"/>
      <c r="O223" s="7">
        <f>O133+O157+O218</f>
        <v>0</v>
      </c>
      <c r="P223" s="7">
        <f>P133+P157+P218</f>
        <v>0</v>
      </c>
      <c r="R223" s="157">
        <f>R165+R218</f>
        <v>0</v>
      </c>
      <c r="S223" s="7"/>
      <c r="T223" s="7"/>
      <c r="U223" s="157">
        <f>U165+U218</f>
        <v>0</v>
      </c>
      <c r="W223" s="1" t="e">
        <f>U223/R223</f>
        <v>#DIV/0!</v>
      </c>
    </row>
    <row r="224" spans="1:29" ht="15.65" customHeight="1" x14ac:dyDescent="0.25">
      <c r="Q224" s="115"/>
      <c r="R224" s="70"/>
      <c r="S224" s="70"/>
    </row>
    <row r="225" spans="13:21" ht="15.65" customHeight="1" x14ac:dyDescent="0.25">
      <c r="Q225" s="115"/>
      <c r="R225" s="70"/>
      <c r="S225" s="70"/>
    </row>
    <row r="226" spans="13:21" ht="15.65" customHeight="1" x14ac:dyDescent="0.25">
      <c r="Q226" s="115"/>
      <c r="R226" s="70"/>
      <c r="S226" s="70"/>
    </row>
    <row r="227" spans="13:21" ht="15.65" customHeight="1" x14ac:dyDescent="0.25">
      <c r="P227" s="1" t="e">
        <f>R223/E223</f>
        <v>#DIV/0!</v>
      </c>
      <c r="Q227" s="115"/>
      <c r="R227" s="70"/>
      <c r="S227" s="70"/>
    </row>
    <row r="228" spans="13:21" ht="15.65" customHeight="1" x14ac:dyDescent="0.25">
      <c r="Q228" s="2" t="s">
        <v>322</v>
      </c>
      <c r="R228" s="8"/>
      <c r="S228" s="8"/>
      <c r="U228" s="1" t="e">
        <f>U223/R230</f>
        <v>#DIV/0!</v>
      </c>
    </row>
    <row r="229" spans="13:21" ht="15.65" customHeight="1" x14ac:dyDescent="0.25">
      <c r="M229" s="54"/>
    </row>
    <row r="230" spans="13:21" ht="15.65" customHeight="1" x14ac:dyDescent="0.25">
      <c r="R230" s="128">
        <f>R223+R228</f>
        <v>0</v>
      </c>
      <c r="S230" s="128"/>
    </row>
  </sheetData>
  <mergeCells count="3">
    <mergeCell ref="A151:A154"/>
    <mergeCell ref="A141:A148"/>
    <mergeCell ref="A149:A150"/>
  </mergeCells>
  <phoneticPr fontId="1" type="noConversion"/>
  <pageMargins left="0.75" right="0.75" top="1" bottom="1" header="0.5" footer="0.5"/>
  <pageSetup paperSize="9" orientation="portrait" horizontalDpi="204" verticalDpi="196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2DC3A-7550-4024-B62B-FB990AA2389B}">
  <dimension ref="A1"/>
  <sheetViews>
    <sheetView workbookViewId="0"/>
  </sheetViews>
  <sheetFormatPr defaultRowHeight="15" x14ac:dyDescent="0.2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42CA6-C8ED-4D31-8C25-3C029D6FB42A}">
  <dimension ref="A1"/>
  <sheetViews>
    <sheetView workbookViewId="0"/>
  </sheetViews>
  <sheetFormatPr defaultRowHeight="15" x14ac:dyDescent="0.2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cjq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cjq</dc:creator>
  <cp:lastModifiedBy>CJQ</cp:lastModifiedBy>
  <dcterms:created xsi:type="dcterms:W3CDTF">2001-09-12T07:47:47Z</dcterms:created>
  <dcterms:modified xsi:type="dcterms:W3CDTF">2026-01-06T02:17:50Z</dcterms:modified>
</cp:coreProperties>
</file>